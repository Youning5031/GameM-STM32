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uning\Documents\ProgrammingProjects\GameM-STM32\"/>
    </mc:Choice>
  </mc:AlternateContent>
  <xr:revisionPtr revIDLastSave="0" documentId="13_ncr:1_{565DE580-B2D6-4102-93B6-0064ABBE285D}" xr6:coauthVersionLast="47" xr6:coauthVersionMax="47" xr10:uidLastSave="{00000000-0000-0000-0000-000000000000}"/>
  <bookViews>
    <workbookView xWindow="-110" yWindow="-110" windowWidth="25820" windowHeight="13900" activeTab="1" xr2:uid="{EAC7F690-B01D-4F4E-B042-41FF1A9BAE3E}"/>
  </bookViews>
  <sheets>
    <sheet name="audio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99" i="2" l="1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8" i="2"/>
  <c r="G7" i="2"/>
  <c r="G6" i="2"/>
  <c r="G5" i="2"/>
  <c r="G4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E699" i="2"/>
  <c r="E698" i="2"/>
  <c r="E697" i="2"/>
  <c r="E696" i="2"/>
  <c r="E695" i="2"/>
  <c r="E694" i="2"/>
  <c r="F694" i="2" s="1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F645" i="2" s="1"/>
  <c r="E644" i="2"/>
  <c r="E643" i="2"/>
  <c r="E642" i="2"/>
  <c r="E641" i="2"/>
  <c r="E640" i="2"/>
  <c r="E639" i="2"/>
  <c r="F639" i="2" s="1"/>
  <c r="E638" i="2"/>
  <c r="E637" i="2"/>
  <c r="E636" i="2"/>
  <c r="E635" i="2"/>
  <c r="E634" i="2"/>
  <c r="E633" i="2"/>
  <c r="E632" i="2"/>
  <c r="E631" i="2"/>
  <c r="E630" i="2"/>
  <c r="E629" i="2"/>
  <c r="F629" i="2" s="1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F609" i="2" s="1"/>
  <c r="H609" i="2" s="1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F532" i="2" s="1"/>
  <c r="E531" i="2"/>
  <c r="E530" i="2"/>
  <c r="F530" i="2" s="1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F511" i="2" s="1"/>
  <c r="E510" i="2"/>
  <c r="F510" i="2" s="1"/>
  <c r="E509" i="2"/>
  <c r="F509" i="2" s="1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F490" i="2" s="1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F469" i="2" s="1"/>
  <c r="E468" i="2"/>
  <c r="E467" i="2"/>
  <c r="E466" i="2"/>
  <c r="E465" i="2"/>
  <c r="F465" i="2" s="1"/>
  <c r="E464" i="2"/>
  <c r="E463" i="2"/>
  <c r="E462" i="2"/>
  <c r="E461" i="2"/>
  <c r="E460" i="2"/>
  <c r="E459" i="2"/>
  <c r="E458" i="2"/>
  <c r="E457" i="2"/>
  <c r="E456" i="2"/>
  <c r="E455" i="2"/>
  <c r="F455" i="2" s="1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F440" i="2" s="1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F420" i="2" s="1"/>
  <c r="E419" i="2"/>
  <c r="E418" i="2"/>
  <c r="E417" i="2"/>
  <c r="E416" i="2"/>
  <c r="E415" i="2"/>
  <c r="E414" i="2"/>
  <c r="F414" i="2" s="1"/>
  <c r="H414" i="2" s="1"/>
  <c r="E413" i="2"/>
  <c r="E412" i="2"/>
  <c r="F412" i="2" s="1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F326" i="2" s="1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F245" i="2" s="1"/>
  <c r="E244" i="2"/>
  <c r="E243" i="2"/>
  <c r="E242" i="2"/>
  <c r="E241" i="2"/>
  <c r="E240" i="2"/>
  <c r="E239" i="2"/>
  <c r="E238" i="2"/>
  <c r="E237" i="2"/>
  <c r="E236" i="2"/>
  <c r="E235" i="2"/>
  <c r="F235" i="2" s="1"/>
  <c r="E234" i="2"/>
  <c r="E233" i="2"/>
  <c r="E232" i="2"/>
  <c r="E231" i="2"/>
  <c r="E230" i="2"/>
  <c r="E229" i="2"/>
  <c r="E228" i="2"/>
  <c r="E227" i="2"/>
  <c r="E226" i="2"/>
  <c r="F226" i="2" s="1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F209" i="2" s="1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F167" i="2" s="1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F153" i="2" s="1"/>
  <c r="E152" i="2"/>
  <c r="E151" i="2"/>
  <c r="E150" i="2"/>
  <c r="E149" i="2"/>
  <c r="E148" i="2"/>
  <c r="E147" i="2"/>
  <c r="E146" i="2"/>
  <c r="E145" i="2"/>
  <c r="E144" i="2"/>
  <c r="E143" i="2"/>
  <c r="E142" i="2"/>
  <c r="E141" i="2"/>
  <c r="F141" i="2" s="1"/>
  <c r="E140" i="2"/>
  <c r="E139" i="2"/>
  <c r="E138" i="2"/>
  <c r="F138" i="2" s="1"/>
  <c r="E137" i="2"/>
  <c r="E136" i="2"/>
  <c r="E135" i="2"/>
  <c r="F135" i="2" s="1"/>
  <c r="E134" i="2"/>
  <c r="E133" i="2"/>
  <c r="E132" i="2"/>
  <c r="F132" i="2" s="1"/>
  <c r="E131" i="2"/>
  <c r="E130" i="2"/>
  <c r="E129" i="2"/>
  <c r="E128" i="2"/>
  <c r="F128" i="2" s="1"/>
  <c r="E127" i="2"/>
  <c r="E126" i="2"/>
  <c r="E125" i="2"/>
  <c r="E124" i="2"/>
  <c r="E123" i="2"/>
  <c r="E122" i="2"/>
  <c r="E121" i="2"/>
  <c r="E120" i="2"/>
  <c r="E119" i="2"/>
  <c r="F119" i="2" s="1"/>
  <c r="E118" i="2"/>
  <c r="E117" i="2"/>
  <c r="E116" i="2"/>
  <c r="E115" i="2"/>
  <c r="E114" i="2"/>
  <c r="E113" i="2"/>
  <c r="E112" i="2"/>
  <c r="F112" i="2" s="1"/>
  <c r="E111" i="2"/>
  <c r="F111" i="2" s="1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F85" i="2" s="1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F51" i="2" s="1"/>
  <c r="E50" i="2"/>
  <c r="F50" i="2" s="1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F33" i="2" s="1"/>
  <c r="E32" i="2"/>
  <c r="E31" i="2"/>
  <c r="E30" i="2"/>
  <c r="F30" i="2" s="1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F642" i="2"/>
  <c r="F636" i="2"/>
  <c r="F621" i="2"/>
  <c r="F612" i="2"/>
  <c r="F571" i="2"/>
  <c r="F508" i="2"/>
  <c r="F496" i="2"/>
  <c r="F451" i="2"/>
  <c r="F445" i="2"/>
  <c r="F437" i="2"/>
  <c r="F426" i="2"/>
  <c r="F385" i="2"/>
  <c r="F370" i="2"/>
  <c r="F366" i="2"/>
  <c r="F297" i="2"/>
  <c r="F282" i="2"/>
  <c r="F62" i="2"/>
  <c r="F61" i="2"/>
  <c r="F12" i="2"/>
  <c r="F638" i="2"/>
  <c r="F635" i="2"/>
  <c r="F598" i="2"/>
  <c r="F583" i="2"/>
  <c r="F543" i="2"/>
  <c r="F515" i="2"/>
  <c r="F514" i="2"/>
  <c r="F495" i="2"/>
  <c r="F494" i="2"/>
  <c r="F472" i="2"/>
  <c r="F152" i="2"/>
  <c r="F104" i="2"/>
  <c r="F37" i="2"/>
  <c r="F24" i="2"/>
  <c r="F15" i="2"/>
  <c r="H15" i="2" s="1"/>
  <c r="F14" i="2"/>
  <c r="H14" i="2" s="1"/>
  <c r="F664" i="2"/>
  <c r="F600" i="2"/>
  <c r="F377" i="2"/>
  <c r="F250" i="2"/>
  <c r="F243" i="2"/>
  <c r="F127" i="2"/>
  <c r="D2" i="2"/>
  <c r="B2" i="2"/>
  <c r="B11" i="2"/>
  <c r="D11" i="2"/>
  <c r="B12" i="2"/>
  <c r="D12" i="2"/>
  <c r="B13" i="2"/>
  <c r="D13" i="2"/>
  <c r="B14" i="2"/>
  <c r="D14" i="2"/>
  <c r="B15" i="2"/>
  <c r="D15" i="2"/>
  <c r="B16" i="2"/>
  <c r="D16" i="2"/>
  <c r="B17" i="2"/>
  <c r="D17" i="2"/>
  <c r="B18" i="2"/>
  <c r="D18" i="2"/>
  <c r="B19" i="2"/>
  <c r="D19" i="2"/>
  <c r="B20" i="2"/>
  <c r="D20" i="2"/>
  <c r="F20" i="2" s="1"/>
  <c r="B21" i="2"/>
  <c r="D21" i="2"/>
  <c r="B22" i="2"/>
  <c r="D22" i="2"/>
  <c r="B23" i="2"/>
  <c r="D23" i="2"/>
  <c r="B24" i="2"/>
  <c r="D24" i="2"/>
  <c r="B25" i="2"/>
  <c r="D25" i="2"/>
  <c r="B26" i="2"/>
  <c r="D26" i="2"/>
  <c r="F26" i="2" s="1"/>
  <c r="H26" i="2" s="1"/>
  <c r="B27" i="2"/>
  <c r="D27" i="2"/>
  <c r="B28" i="2"/>
  <c r="D28" i="2"/>
  <c r="B29" i="2"/>
  <c r="D29" i="2"/>
  <c r="B30" i="2"/>
  <c r="D30" i="2"/>
  <c r="B31" i="2"/>
  <c r="D31" i="2"/>
  <c r="B32" i="2"/>
  <c r="D32" i="2"/>
  <c r="B33" i="2"/>
  <c r="D33" i="2"/>
  <c r="B34" i="2"/>
  <c r="D34" i="2"/>
  <c r="F34" i="2" s="1"/>
  <c r="B35" i="2"/>
  <c r="D35" i="2"/>
  <c r="F35" i="2"/>
  <c r="B36" i="2"/>
  <c r="D36" i="2"/>
  <c r="B37" i="2"/>
  <c r="D37" i="2"/>
  <c r="B38" i="2"/>
  <c r="D38" i="2"/>
  <c r="B39" i="2"/>
  <c r="D39" i="2"/>
  <c r="F39" i="2" s="1"/>
  <c r="B40" i="2"/>
  <c r="D40" i="2"/>
  <c r="B41" i="2"/>
  <c r="D41" i="2"/>
  <c r="B42" i="2"/>
  <c r="D42" i="2"/>
  <c r="B43" i="2"/>
  <c r="D43" i="2"/>
  <c r="B44" i="2"/>
  <c r="D44" i="2"/>
  <c r="F44" i="2" s="1"/>
  <c r="B45" i="2"/>
  <c r="D45" i="2"/>
  <c r="B46" i="2"/>
  <c r="D46" i="2"/>
  <c r="B47" i="2"/>
  <c r="D47" i="2"/>
  <c r="B48" i="2"/>
  <c r="D48" i="2"/>
  <c r="B49" i="2"/>
  <c r="D49" i="2"/>
  <c r="B50" i="2"/>
  <c r="D50" i="2"/>
  <c r="B51" i="2"/>
  <c r="D51" i="2"/>
  <c r="B52" i="2"/>
  <c r="D52" i="2"/>
  <c r="B53" i="2"/>
  <c r="D53" i="2"/>
  <c r="B54" i="2"/>
  <c r="D54" i="2"/>
  <c r="B55" i="2"/>
  <c r="D55" i="2"/>
  <c r="B56" i="2"/>
  <c r="D56" i="2"/>
  <c r="B57" i="2"/>
  <c r="D57" i="2"/>
  <c r="B58" i="2"/>
  <c r="D58" i="2"/>
  <c r="B59" i="2"/>
  <c r="D59" i="2"/>
  <c r="F59" i="2" s="1"/>
  <c r="B60" i="2"/>
  <c r="D60" i="2"/>
  <c r="B61" i="2"/>
  <c r="D61" i="2"/>
  <c r="B62" i="2"/>
  <c r="D62" i="2"/>
  <c r="B63" i="2"/>
  <c r="D63" i="2"/>
  <c r="B64" i="2"/>
  <c r="D64" i="2"/>
  <c r="F64" i="2" s="1"/>
  <c r="B65" i="2"/>
  <c r="D65" i="2"/>
  <c r="B66" i="2"/>
  <c r="D66" i="2"/>
  <c r="B67" i="2"/>
  <c r="D67" i="2"/>
  <c r="B68" i="2"/>
  <c r="D68" i="2"/>
  <c r="B69" i="2"/>
  <c r="D69" i="2"/>
  <c r="B70" i="2"/>
  <c r="D70" i="2"/>
  <c r="B71" i="2"/>
  <c r="D71" i="2"/>
  <c r="B72" i="2"/>
  <c r="D72" i="2"/>
  <c r="B73" i="2"/>
  <c r="D73" i="2"/>
  <c r="B74" i="2"/>
  <c r="D74" i="2"/>
  <c r="B75" i="2"/>
  <c r="D75" i="2"/>
  <c r="B76" i="2"/>
  <c r="D76" i="2"/>
  <c r="B77" i="2"/>
  <c r="D77" i="2"/>
  <c r="B78" i="2"/>
  <c r="D78" i="2"/>
  <c r="B79" i="2"/>
  <c r="D79" i="2"/>
  <c r="F79" i="2" s="1"/>
  <c r="B80" i="2"/>
  <c r="D80" i="2"/>
  <c r="F80" i="2" s="1"/>
  <c r="B81" i="2"/>
  <c r="D81" i="2"/>
  <c r="B82" i="2"/>
  <c r="D82" i="2"/>
  <c r="B83" i="2"/>
  <c r="D83" i="2"/>
  <c r="B84" i="2"/>
  <c r="D84" i="2"/>
  <c r="F84" i="2" s="1"/>
  <c r="B85" i="2"/>
  <c r="D85" i="2"/>
  <c r="B86" i="2"/>
  <c r="D86" i="2"/>
  <c r="B87" i="2"/>
  <c r="D87" i="2"/>
  <c r="B88" i="2"/>
  <c r="D88" i="2"/>
  <c r="B89" i="2"/>
  <c r="D89" i="2"/>
  <c r="B90" i="2"/>
  <c r="D90" i="2"/>
  <c r="B91" i="2"/>
  <c r="D91" i="2"/>
  <c r="B92" i="2"/>
  <c r="D92" i="2"/>
  <c r="B93" i="2"/>
  <c r="D93" i="2"/>
  <c r="F93" i="2"/>
  <c r="B94" i="2"/>
  <c r="D94" i="2"/>
  <c r="B95" i="2"/>
  <c r="D95" i="2"/>
  <c r="B96" i="2"/>
  <c r="D96" i="2"/>
  <c r="B97" i="2"/>
  <c r="D97" i="2"/>
  <c r="B98" i="2"/>
  <c r="D98" i="2"/>
  <c r="F98" i="2" s="1"/>
  <c r="B99" i="2"/>
  <c r="D99" i="2"/>
  <c r="F99" i="2" s="1"/>
  <c r="B100" i="2"/>
  <c r="D100" i="2"/>
  <c r="B101" i="2"/>
  <c r="D101" i="2"/>
  <c r="B102" i="2"/>
  <c r="D102" i="2"/>
  <c r="B103" i="2"/>
  <c r="D103" i="2"/>
  <c r="F103" i="2" s="1"/>
  <c r="B104" i="2"/>
  <c r="D104" i="2"/>
  <c r="B105" i="2"/>
  <c r="D105" i="2"/>
  <c r="B106" i="2"/>
  <c r="D106" i="2"/>
  <c r="B107" i="2"/>
  <c r="D107" i="2"/>
  <c r="B108" i="2"/>
  <c r="D108" i="2"/>
  <c r="B109" i="2"/>
  <c r="D109" i="2"/>
  <c r="B110" i="2"/>
  <c r="D110" i="2"/>
  <c r="B111" i="2"/>
  <c r="D111" i="2"/>
  <c r="B112" i="2"/>
  <c r="D112" i="2"/>
  <c r="B113" i="2"/>
  <c r="D113" i="2"/>
  <c r="F113" i="2" s="1"/>
  <c r="B114" i="2"/>
  <c r="D114" i="2"/>
  <c r="B115" i="2"/>
  <c r="D115" i="2"/>
  <c r="B116" i="2"/>
  <c r="D116" i="2"/>
  <c r="B117" i="2"/>
  <c r="D117" i="2"/>
  <c r="B118" i="2"/>
  <c r="D118" i="2"/>
  <c r="B119" i="2"/>
  <c r="D119" i="2"/>
  <c r="B120" i="2"/>
  <c r="D120" i="2"/>
  <c r="B121" i="2"/>
  <c r="D121" i="2"/>
  <c r="B122" i="2"/>
  <c r="D122" i="2"/>
  <c r="B123" i="2"/>
  <c r="D123" i="2"/>
  <c r="B124" i="2"/>
  <c r="D124" i="2"/>
  <c r="B125" i="2"/>
  <c r="D125" i="2"/>
  <c r="B126" i="2"/>
  <c r="D126" i="2"/>
  <c r="B127" i="2"/>
  <c r="D127" i="2"/>
  <c r="B128" i="2"/>
  <c r="D128" i="2"/>
  <c r="B129" i="2"/>
  <c r="D129" i="2"/>
  <c r="B130" i="2"/>
  <c r="D130" i="2"/>
  <c r="B131" i="2"/>
  <c r="D131" i="2"/>
  <c r="B132" i="2"/>
  <c r="D132" i="2"/>
  <c r="B133" i="2"/>
  <c r="D133" i="2"/>
  <c r="B134" i="2"/>
  <c r="D134" i="2"/>
  <c r="B135" i="2"/>
  <c r="D135" i="2"/>
  <c r="B136" i="2"/>
  <c r="D136" i="2"/>
  <c r="B137" i="2"/>
  <c r="D137" i="2"/>
  <c r="B138" i="2"/>
  <c r="D138" i="2"/>
  <c r="B139" i="2"/>
  <c r="D139" i="2"/>
  <c r="B140" i="2"/>
  <c r="D140" i="2"/>
  <c r="B141" i="2"/>
  <c r="D141" i="2"/>
  <c r="B142" i="2"/>
  <c r="D142" i="2"/>
  <c r="B143" i="2"/>
  <c r="D143" i="2"/>
  <c r="B144" i="2"/>
  <c r="D144" i="2"/>
  <c r="F144" i="2" s="1"/>
  <c r="B145" i="2"/>
  <c r="D145" i="2"/>
  <c r="B146" i="2"/>
  <c r="D146" i="2"/>
  <c r="B147" i="2"/>
  <c r="D147" i="2"/>
  <c r="B148" i="2"/>
  <c r="D148" i="2"/>
  <c r="B149" i="2"/>
  <c r="D149" i="2"/>
  <c r="B150" i="2"/>
  <c r="D150" i="2"/>
  <c r="B151" i="2"/>
  <c r="D151" i="2"/>
  <c r="B152" i="2"/>
  <c r="D152" i="2"/>
  <c r="B153" i="2"/>
  <c r="D153" i="2"/>
  <c r="B154" i="2"/>
  <c r="D154" i="2"/>
  <c r="B155" i="2"/>
  <c r="D155" i="2"/>
  <c r="B156" i="2"/>
  <c r="D156" i="2"/>
  <c r="B157" i="2"/>
  <c r="D157" i="2"/>
  <c r="B158" i="2"/>
  <c r="D158" i="2"/>
  <c r="B159" i="2"/>
  <c r="D159" i="2"/>
  <c r="B160" i="2"/>
  <c r="D160" i="2"/>
  <c r="B161" i="2"/>
  <c r="D161" i="2"/>
  <c r="B162" i="2"/>
  <c r="D162" i="2"/>
  <c r="B163" i="2"/>
  <c r="D163" i="2"/>
  <c r="B164" i="2"/>
  <c r="D164" i="2"/>
  <c r="B165" i="2"/>
  <c r="D165" i="2"/>
  <c r="B166" i="2"/>
  <c r="D166" i="2"/>
  <c r="B167" i="2"/>
  <c r="D167" i="2"/>
  <c r="B168" i="2"/>
  <c r="D168" i="2"/>
  <c r="B169" i="2"/>
  <c r="D169" i="2"/>
  <c r="B170" i="2"/>
  <c r="D170" i="2"/>
  <c r="B171" i="2"/>
  <c r="D171" i="2"/>
  <c r="B172" i="2"/>
  <c r="D172" i="2"/>
  <c r="B173" i="2"/>
  <c r="D173" i="2"/>
  <c r="B174" i="2"/>
  <c r="D174" i="2"/>
  <c r="B175" i="2"/>
  <c r="D175" i="2"/>
  <c r="B176" i="2"/>
  <c r="D176" i="2"/>
  <c r="B177" i="2"/>
  <c r="D177" i="2"/>
  <c r="B178" i="2"/>
  <c r="D178" i="2"/>
  <c r="B179" i="2"/>
  <c r="D179" i="2"/>
  <c r="B180" i="2"/>
  <c r="D180" i="2"/>
  <c r="B181" i="2"/>
  <c r="D181" i="2"/>
  <c r="B182" i="2"/>
  <c r="D182" i="2"/>
  <c r="B183" i="2"/>
  <c r="D183" i="2"/>
  <c r="B184" i="2"/>
  <c r="D184" i="2"/>
  <c r="B185" i="2"/>
  <c r="D185" i="2"/>
  <c r="B186" i="2"/>
  <c r="D186" i="2"/>
  <c r="B187" i="2"/>
  <c r="D187" i="2"/>
  <c r="B188" i="2"/>
  <c r="D188" i="2"/>
  <c r="B189" i="2"/>
  <c r="D189" i="2"/>
  <c r="B190" i="2"/>
  <c r="D190" i="2"/>
  <c r="B191" i="2"/>
  <c r="D191" i="2"/>
  <c r="B192" i="2"/>
  <c r="D192" i="2"/>
  <c r="B193" i="2"/>
  <c r="D193" i="2"/>
  <c r="B194" i="2"/>
  <c r="D194" i="2"/>
  <c r="B195" i="2"/>
  <c r="D195" i="2"/>
  <c r="B196" i="2"/>
  <c r="D196" i="2"/>
  <c r="B197" i="2"/>
  <c r="D197" i="2"/>
  <c r="B198" i="2"/>
  <c r="D198" i="2"/>
  <c r="B199" i="2"/>
  <c r="D199" i="2"/>
  <c r="B200" i="2"/>
  <c r="D200" i="2"/>
  <c r="B201" i="2"/>
  <c r="D201" i="2"/>
  <c r="B202" i="2"/>
  <c r="D202" i="2"/>
  <c r="B203" i="2"/>
  <c r="D203" i="2"/>
  <c r="B204" i="2"/>
  <c r="D204" i="2"/>
  <c r="F204" i="2" s="1"/>
  <c r="B205" i="2"/>
  <c r="D205" i="2"/>
  <c r="B206" i="2"/>
  <c r="D206" i="2"/>
  <c r="B207" i="2"/>
  <c r="D207" i="2"/>
  <c r="B208" i="2"/>
  <c r="D208" i="2"/>
  <c r="B209" i="2"/>
  <c r="D209" i="2"/>
  <c r="B210" i="2"/>
  <c r="D210" i="2"/>
  <c r="B211" i="2"/>
  <c r="D211" i="2"/>
  <c r="B212" i="2"/>
  <c r="D212" i="2"/>
  <c r="B213" i="2"/>
  <c r="D213" i="2"/>
  <c r="B214" i="2"/>
  <c r="D214" i="2"/>
  <c r="B215" i="2"/>
  <c r="D215" i="2"/>
  <c r="B216" i="2"/>
  <c r="D216" i="2"/>
  <c r="B217" i="2"/>
  <c r="D217" i="2"/>
  <c r="B218" i="2"/>
  <c r="D218" i="2"/>
  <c r="B219" i="2"/>
  <c r="D219" i="2"/>
  <c r="B220" i="2"/>
  <c r="D220" i="2"/>
  <c r="B221" i="2"/>
  <c r="D221" i="2"/>
  <c r="B222" i="2"/>
  <c r="D222" i="2"/>
  <c r="B223" i="2"/>
  <c r="D223" i="2"/>
  <c r="B224" i="2"/>
  <c r="D224" i="2"/>
  <c r="B225" i="2"/>
  <c r="D225" i="2"/>
  <c r="B226" i="2"/>
  <c r="D226" i="2"/>
  <c r="B227" i="2"/>
  <c r="D227" i="2"/>
  <c r="B228" i="2"/>
  <c r="D228" i="2"/>
  <c r="B229" i="2"/>
  <c r="D229" i="2"/>
  <c r="B230" i="2"/>
  <c r="D230" i="2"/>
  <c r="B231" i="2"/>
  <c r="D231" i="2"/>
  <c r="B232" i="2"/>
  <c r="D232" i="2"/>
  <c r="B233" i="2"/>
  <c r="D233" i="2"/>
  <c r="B234" i="2"/>
  <c r="D234" i="2"/>
  <c r="B235" i="2"/>
  <c r="D235" i="2"/>
  <c r="B236" i="2"/>
  <c r="D236" i="2"/>
  <c r="B237" i="2"/>
  <c r="D237" i="2"/>
  <c r="B238" i="2"/>
  <c r="D238" i="2"/>
  <c r="B239" i="2"/>
  <c r="D239" i="2"/>
  <c r="F239" i="2" s="1"/>
  <c r="B240" i="2"/>
  <c r="D240" i="2"/>
  <c r="B241" i="2"/>
  <c r="D241" i="2"/>
  <c r="B242" i="2"/>
  <c r="D242" i="2"/>
  <c r="B243" i="2"/>
  <c r="D243" i="2"/>
  <c r="B244" i="2"/>
  <c r="D244" i="2"/>
  <c r="F244" i="2"/>
  <c r="B245" i="2"/>
  <c r="D245" i="2"/>
  <c r="B246" i="2"/>
  <c r="D246" i="2"/>
  <c r="B247" i="2"/>
  <c r="D247" i="2"/>
  <c r="B248" i="2"/>
  <c r="D248" i="2"/>
  <c r="B249" i="2"/>
  <c r="D249" i="2"/>
  <c r="B250" i="2"/>
  <c r="D250" i="2"/>
  <c r="B251" i="2"/>
  <c r="D251" i="2"/>
  <c r="B252" i="2"/>
  <c r="D252" i="2"/>
  <c r="B253" i="2"/>
  <c r="D253" i="2"/>
  <c r="B254" i="2"/>
  <c r="D254" i="2"/>
  <c r="B255" i="2"/>
  <c r="D255" i="2"/>
  <c r="B256" i="2"/>
  <c r="D256" i="2"/>
  <c r="B257" i="2"/>
  <c r="D257" i="2"/>
  <c r="B258" i="2"/>
  <c r="D258" i="2"/>
  <c r="B259" i="2"/>
  <c r="D259" i="2"/>
  <c r="F259" i="2" s="1"/>
  <c r="B260" i="2"/>
  <c r="D260" i="2"/>
  <c r="B261" i="2"/>
  <c r="D261" i="2"/>
  <c r="B262" i="2"/>
  <c r="D262" i="2"/>
  <c r="B263" i="2"/>
  <c r="D263" i="2"/>
  <c r="B264" i="2"/>
  <c r="D264" i="2"/>
  <c r="F264" i="2" s="1"/>
  <c r="B265" i="2"/>
  <c r="D265" i="2"/>
  <c r="B266" i="2"/>
  <c r="D266" i="2"/>
  <c r="B267" i="2"/>
  <c r="D267" i="2"/>
  <c r="B268" i="2"/>
  <c r="D268" i="2"/>
  <c r="B269" i="2"/>
  <c r="D269" i="2"/>
  <c r="B270" i="2"/>
  <c r="D270" i="2"/>
  <c r="B271" i="2"/>
  <c r="D271" i="2"/>
  <c r="B272" i="2"/>
  <c r="D272" i="2"/>
  <c r="B273" i="2"/>
  <c r="D273" i="2"/>
  <c r="B274" i="2"/>
  <c r="D274" i="2"/>
  <c r="B275" i="2"/>
  <c r="D275" i="2"/>
  <c r="B276" i="2"/>
  <c r="D276" i="2"/>
  <c r="B277" i="2"/>
  <c r="D277" i="2"/>
  <c r="B278" i="2"/>
  <c r="D278" i="2"/>
  <c r="B279" i="2"/>
  <c r="D279" i="2"/>
  <c r="F279" i="2" s="1"/>
  <c r="B280" i="2"/>
  <c r="D280" i="2"/>
  <c r="B281" i="2"/>
  <c r="D281" i="2"/>
  <c r="B282" i="2"/>
  <c r="D282" i="2"/>
  <c r="B283" i="2"/>
  <c r="D283" i="2"/>
  <c r="F283" i="2" s="1"/>
  <c r="B284" i="2"/>
  <c r="D284" i="2"/>
  <c r="B285" i="2"/>
  <c r="D285" i="2"/>
  <c r="B286" i="2"/>
  <c r="D286" i="2"/>
  <c r="B287" i="2"/>
  <c r="D287" i="2"/>
  <c r="B288" i="2"/>
  <c r="D288" i="2"/>
  <c r="B289" i="2"/>
  <c r="D289" i="2"/>
  <c r="B290" i="2"/>
  <c r="D290" i="2"/>
  <c r="B291" i="2"/>
  <c r="D291" i="2"/>
  <c r="B292" i="2"/>
  <c r="D292" i="2"/>
  <c r="B293" i="2"/>
  <c r="D293" i="2"/>
  <c r="B294" i="2"/>
  <c r="D294" i="2"/>
  <c r="B295" i="2"/>
  <c r="D295" i="2"/>
  <c r="B296" i="2"/>
  <c r="D296" i="2"/>
  <c r="B297" i="2"/>
  <c r="D297" i="2"/>
  <c r="B298" i="2"/>
  <c r="D298" i="2"/>
  <c r="F298" i="2" s="1"/>
  <c r="B299" i="2"/>
  <c r="D299" i="2"/>
  <c r="F299" i="2"/>
  <c r="B300" i="2"/>
  <c r="D300" i="2"/>
  <c r="B301" i="2"/>
  <c r="D301" i="2"/>
  <c r="B302" i="2"/>
  <c r="D302" i="2"/>
  <c r="B303" i="2"/>
  <c r="D303" i="2"/>
  <c r="B304" i="2"/>
  <c r="D304" i="2"/>
  <c r="B305" i="2"/>
  <c r="D305" i="2"/>
  <c r="B306" i="2"/>
  <c r="D306" i="2"/>
  <c r="B307" i="2"/>
  <c r="D307" i="2"/>
  <c r="B308" i="2"/>
  <c r="D308" i="2"/>
  <c r="B309" i="2"/>
  <c r="D309" i="2"/>
  <c r="B310" i="2"/>
  <c r="D310" i="2"/>
  <c r="B311" i="2"/>
  <c r="D311" i="2"/>
  <c r="B312" i="2"/>
  <c r="D312" i="2"/>
  <c r="F312" i="2"/>
  <c r="B313" i="2"/>
  <c r="D313" i="2"/>
  <c r="B314" i="2"/>
  <c r="D314" i="2"/>
  <c r="B315" i="2"/>
  <c r="D315" i="2"/>
  <c r="B316" i="2"/>
  <c r="D316" i="2"/>
  <c r="B317" i="2"/>
  <c r="D317" i="2"/>
  <c r="B318" i="2"/>
  <c r="D318" i="2"/>
  <c r="F318" i="2" s="1"/>
  <c r="B319" i="2"/>
  <c r="D319" i="2"/>
  <c r="F319" i="2"/>
  <c r="B320" i="2"/>
  <c r="D320" i="2"/>
  <c r="F320" i="2" s="1"/>
  <c r="B321" i="2"/>
  <c r="D321" i="2"/>
  <c r="B322" i="2"/>
  <c r="D322" i="2"/>
  <c r="B323" i="2"/>
  <c r="D323" i="2"/>
  <c r="B324" i="2"/>
  <c r="D324" i="2"/>
  <c r="B325" i="2"/>
  <c r="D325" i="2"/>
  <c r="B326" i="2"/>
  <c r="D326" i="2"/>
  <c r="B327" i="2"/>
  <c r="D327" i="2"/>
  <c r="B328" i="2"/>
  <c r="D328" i="2"/>
  <c r="B329" i="2"/>
  <c r="D329" i="2"/>
  <c r="B330" i="2"/>
  <c r="D330" i="2"/>
  <c r="B331" i="2"/>
  <c r="D331" i="2"/>
  <c r="B332" i="2"/>
  <c r="D332" i="2"/>
  <c r="B333" i="2"/>
  <c r="D333" i="2"/>
  <c r="B334" i="2"/>
  <c r="D334" i="2"/>
  <c r="B335" i="2"/>
  <c r="D335" i="2"/>
  <c r="B336" i="2"/>
  <c r="D336" i="2"/>
  <c r="F336" i="2" s="1"/>
  <c r="B337" i="2"/>
  <c r="D337" i="2"/>
  <c r="B338" i="2"/>
  <c r="D338" i="2"/>
  <c r="B339" i="2"/>
  <c r="D339" i="2"/>
  <c r="F339" i="2"/>
  <c r="B340" i="2"/>
  <c r="D340" i="2"/>
  <c r="B341" i="2"/>
  <c r="D341" i="2"/>
  <c r="B342" i="2"/>
  <c r="D342" i="2"/>
  <c r="B343" i="2"/>
  <c r="D343" i="2"/>
  <c r="B344" i="2"/>
  <c r="D344" i="2"/>
  <c r="B345" i="2"/>
  <c r="D345" i="2"/>
  <c r="B346" i="2"/>
  <c r="D346" i="2"/>
  <c r="B347" i="2"/>
  <c r="D347" i="2"/>
  <c r="B348" i="2"/>
  <c r="D348" i="2"/>
  <c r="B349" i="2"/>
  <c r="D349" i="2"/>
  <c r="B350" i="2"/>
  <c r="D350" i="2"/>
  <c r="B351" i="2"/>
  <c r="D351" i="2"/>
  <c r="F351" i="2" s="1"/>
  <c r="B352" i="2"/>
  <c r="D352" i="2"/>
  <c r="B353" i="2"/>
  <c r="D353" i="2"/>
  <c r="B354" i="2"/>
  <c r="D354" i="2"/>
  <c r="B355" i="2"/>
  <c r="D355" i="2"/>
  <c r="B356" i="2"/>
  <c r="D356" i="2"/>
  <c r="B357" i="2"/>
  <c r="D357" i="2"/>
  <c r="B358" i="2"/>
  <c r="D358" i="2"/>
  <c r="B359" i="2"/>
  <c r="D359" i="2"/>
  <c r="F359" i="2" s="1"/>
  <c r="B360" i="2"/>
  <c r="D360" i="2"/>
  <c r="B361" i="2"/>
  <c r="D361" i="2"/>
  <c r="B362" i="2"/>
  <c r="D362" i="2"/>
  <c r="B363" i="2"/>
  <c r="D363" i="2"/>
  <c r="B364" i="2"/>
  <c r="D364" i="2"/>
  <c r="B365" i="2"/>
  <c r="D365" i="2"/>
  <c r="B366" i="2"/>
  <c r="D366" i="2"/>
  <c r="B367" i="2"/>
  <c r="D367" i="2"/>
  <c r="B368" i="2"/>
  <c r="D368" i="2"/>
  <c r="B369" i="2"/>
  <c r="D369" i="2"/>
  <c r="B370" i="2"/>
  <c r="D370" i="2"/>
  <c r="B371" i="2"/>
  <c r="D371" i="2"/>
  <c r="B372" i="2"/>
  <c r="D372" i="2"/>
  <c r="B373" i="2"/>
  <c r="D373" i="2"/>
  <c r="B374" i="2"/>
  <c r="D374" i="2"/>
  <c r="B375" i="2"/>
  <c r="D375" i="2"/>
  <c r="B376" i="2"/>
  <c r="D376" i="2"/>
  <c r="B377" i="2"/>
  <c r="D377" i="2"/>
  <c r="B378" i="2"/>
  <c r="D378" i="2"/>
  <c r="B379" i="2"/>
  <c r="D379" i="2"/>
  <c r="F379" i="2" s="1"/>
  <c r="B380" i="2"/>
  <c r="D380" i="2"/>
  <c r="B381" i="2"/>
  <c r="D381" i="2"/>
  <c r="B382" i="2"/>
  <c r="D382" i="2"/>
  <c r="B383" i="2"/>
  <c r="D383" i="2"/>
  <c r="F383" i="2" s="1"/>
  <c r="B384" i="2"/>
  <c r="D384" i="2"/>
  <c r="F384" i="2" s="1"/>
  <c r="B385" i="2"/>
  <c r="D385" i="2"/>
  <c r="B386" i="2"/>
  <c r="D386" i="2"/>
  <c r="B387" i="2"/>
  <c r="D387" i="2"/>
  <c r="B388" i="2"/>
  <c r="D388" i="2"/>
  <c r="B389" i="2"/>
  <c r="D389" i="2"/>
  <c r="B390" i="2"/>
  <c r="D390" i="2"/>
  <c r="B391" i="2"/>
  <c r="D391" i="2"/>
  <c r="B392" i="2"/>
  <c r="D392" i="2"/>
  <c r="B393" i="2"/>
  <c r="D393" i="2"/>
  <c r="B394" i="2"/>
  <c r="D394" i="2"/>
  <c r="B395" i="2"/>
  <c r="D395" i="2"/>
  <c r="B396" i="2"/>
  <c r="D396" i="2"/>
  <c r="B397" i="2"/>
  <c r="D397" i="2"/>
  <c r="B398" i="2"/>
  <c r="D398" i="2"/>
  <c r="B399" i="2"/>
  <c r="D399" i="2"/>
  <c r="F399" i="2" s="1"/>
  <c r="B400" i="2"/>
  <c r="D400" i="2"/>
  <c r="B401" i="2"/>
  <c r="D401" i="2"/>
  <c r="B402" i="2"/>
  <c r="D402" i="2"/>
  <c r="B403" i="2"/>
  <c r="D403" i="2"/>
  <c r="B404" i="2"/>
  <c r="D404" i="2"/>
  <c r="F404" i="2" s="1"/>
  <c r="B405" i="2"/>
  <c r="D405" i="2"/>
  <c r="B406" i="2"/>
  <c r="D406" i="2"/>
  <c r="B407" i="2"/>
  <c r="D407" i="2"/>
  <c r="B408" i="2"/>
  <c r="D408" i="2"/>
  <c r="B409" i="2"/>
  <c r="D409" i="2"/>
  <c r="B410" i="2"/>
  <c r="D410" i="2"/>
  <c r="B411" i="2"/>
  <c r="D411" i="2"/>
  <c r="B412" i="2"/>
  <c r="D412" i="2"/>
  <c r="B413" i="2"/>
  <c r="D413" i="2"/>
  <c r="B414" i="2"/>
  <c r="D414" i="2"/>
  <c r="B415" i="2"/>
  <c r="D415" i="2"/>
  <c r="B416" i="2"/>
  <c r="D416" i="2"/>
  <c r="B417" i="2"/>
  <c r="D417" i="2"/>
  <c r="B418" i="2"/>
  <c r="D418" i="2"/>
  <c r="F418" i="2" s="1"/>
  <c r="B419" i="2"/>
  <c r="D419" i="2"/>
  <c r="F419" i="2" s="1"/>
  <c r="B420" i="2"/>
  <c r="D420" i="2"/>
  <c r="B421" i="2"/>
  <c r="D421" i="2"/>
  <c r="B422" i="2"/>
  <c r="D422" i="2"/>
  <c r="B423" i="2"/>
  <c r="D423" i="2"/>
  <c r="B424" i="2"/>
  <c r="D424" i="2"/>
  <c r="F424" i="2" s="1"/>
  <c r="B425" i="2"/>
  <c r="D425" i="2"/>
  <c r="B426" i="2"/>
  <c r="D426" i="2"/>
  <c r="B427" i="2"/>
  <c r="D427" i="2"/>
  <c r="B428" i="2"/>
  <c r="D428" i="2"/>
  <c r="B429" i="2"/>
  <c r="D429" i="2"/>
  <c r="B430" i="2"/>
  <c r="D430" i="2"/>
  <c r="B431" i="2"/>
  <c r="D431" i="2"/>
  <c r="F431" i="2" s="1"/>
  <c r="B432" i="2"/>
  <c r="D432" i="2"/>
  <c r="B433" i="2"/>
  <c r="D433" i="2"/>
  <c r="B434" i="2"/>
  <c r="D434" i="2"/>
  <c r="B435" i="2"/>
  <c r="D435" i="2"/>
  <c r="B436" i="2"/>
  <c r="D436" i="2"/>
  <c r="B437" i="2"/>
  <c r="D437" i="2"/>
  <c r="B438" i="2"/>
  <c r="D438" i="2"/>
  <c r="F438" i="2"/>
  <c r="B439" i="2"/>
  <c r="D439" i="2"/>
  <c r="F439" i="2" s="1"/>
  <c r="B440" i="2"/>
  <c r="D440" i="2"/>
  <c r="B441" i="2"/>
  <c r="D441" i="2"/>
  <c r="B442" i="2"/>
  <c r="D442" i="2"/>
  <c r="B443" i="2"/>
  <c r="D443" i="2"/>
  <c r="B444" i="2"/>
  <c r="D444" i="2"/>
  <c r="B445" i="2"/>
  <c r="D445" i="2"/>
  <c r="B446" i="2"/>
  <c r="D446" i="2"/>
  <c r="B447" i="2"/>
  <c r="D447" i="2"/>
  <c r="B448" i="2"/>
  <c r="D448" i="2"/>
  <c r="B449" i="2"/>
  <c r="D449" i="2"/>
  <c r="B450" i="2"/>
  <c r="D450" i="2"/>
  <c r="B451" i="2"/>
  <c r="D451" i="2"/>
  <c r="B452" i="2"/>
  <c r="D452" i="2"/>
  <c r="B453" i="2"/>
  <c r="D453" i="2"/>
  <c r="B454" i="2"/>
  <c r="D454" i="2"/>
  <c r="B455" i="2"/>
  <c r="D455" i="2"/>
  <c r="B456" i="2"/>
  <c r="D456" i="2"/>
  <c r="B457" i="2"/>
  <c r="D457" i="2"/>
  <c r="F457" i="2" s="1"/>
  <c r="B458" i="2"/>
  <c r="D458" i="2"/>
  <c r="F458" i="2" s="1"/>
  <c r="B459" i="2"/>
  <c r="D459" i="2"/>
  <c r="F459" i="2" s="1"/>
  <c r="B460" i="2"/>
  <c r="D460" i="2"/>
  <c r="B461" i="2"/>
  <c r="D461" i="2"/>
  <c r="B462" i="2"/>
  <c r="D462" i="2"/>
  <c r="B463" i="2"/>
  <c r="D463" i="2"/>
  <c r="B464" i="2"/>
  <c r="D464" i="2"/>
  <c r="B465" i="2"/>
  <c r="D465" i="2"/>
  <c r="B466" i="2"/>
  <c r="D466" i="2"/>
  <c r="B467" i="2"/>
  <c r="D467" i="2"/>
  <c r="B468" i="2"/>
  <c r="D468" i="2"/>
  <c r="B469" i="2"/>
  <c r="D469" i="2"/>
  <c r="B470" i="2"/>
  <c r="D470" i="2"/>
  <c r="B471" i="2"/>
  <c r="D471" i="2"/>
  <c r="B472" i="2"/>
  <c r="D472" i="2"/>
  <c r="B473" i="2"/>
  <c r="D473" i="2"/>
  <c r="B474" i="2"/>
  <c r="D474" i="2"/>
  <c r="F474" i="2" s="1"/>
  <c r="B475" i="2"/>
  <c r="D475" i="2"/>
  <c r="B476" i="2"/>
  <c r="D476" i="2"/>
  <c r="B477" i="2"/>
  <c r="D477" i="2"/>
  <c r="B478" i="2"/>
  <c r="D478" i="2"/>
  <c r="F478" i="2"/>
  <c r="B479" i="2"/>
  <c r="D479" i="2"/>
  <c r="F479" i="2" s="1"/>
  <c r="B480" i="2"/>
  <c r="D480" i="2"/>
  <c r="F480" i="2" s="1"/>
  <c r="B481" i="2"/>
  <c r="D481" i="2"/>
  <c r="B482" i="2"/>
  <c r="D482" i="2"/>
  <c r="B483" i="2"/>
  <c r="D483" i="2"/>
  <c r="B484" i="2"/>
  <c r="D484" i="2"/>
  <c r="B485" i="2"/>
  <c r="D485" i="2"/>
  <c r="B486" i="2"/>
  <c r="D486" i="2"/>
  <c r="B487" i="2"/>
  <c r="D487" i="2"/>
  <c r="B488" i="2"/>
  <c r="D488" i="2"/>
  <c r="B489" i="2"/>
  <c r="D489" i="2"/>
  <c r="B490" i="2"/>
  <c r="D490" i="2"/>
  <c r="B491" i="2"/>
  <c r="D491" i="2"/>
  <c r="B492" i="2"/>
  <c r="D492" i="2"/>
  <c r="B493" i="2"/>
  <c r="D493" i="2"/>
  <c r="B494" i="2"/>
  <c r="D494" i="2"/>
  <c r="B495" i="2"/>
  <c r="D495" i="2"/>
  <c r="B496" i="2"/>
  <c r="D496" i="2"/>
  <c r="B497" i="2"/>
  <c r="D497" i="2"/>
  <c r="B498" i="2"/>
  <c r="D498" i="2"/>
  <c r="F498" i="2" s="1"/>
  <c r="B499" i="2"/>
  <c r="D499" i="2"/>
  <c r="F499" i="2"/>
  <c r="B500" i="2"/>
  <c r="D500" i="2"/>
  <c r="B501" i="2"/>
  <c r="D501" i="2"/>
  <c r="B502" i="2"/>
  <c r="D502" i="2"/>
  <c r="B503" i="2"/>
  <c r="D503" i="2"/>
  <c r="F503" i="2" s="1"/>
  <c r="B504" i="2"/>
  <c r="D504" i="2"/>
  <c r="B505" i="2"/>
  <c r="D505" i="2"/>
  <c r="B506" i="2"/>
  <c r="D506" i="2"/>
  <c r="B507" i="2"/>
  <c r="D507" i="2"/>
  <c r="B508" i="2"/>
  <c r="D508" i="2"/>
  <c r="B509" i="2"/>
  <c r="D509" i="2"/>
  <c r="B510" i="2"/>
  <c r="D510" i="2"/>
  <c r="B511" i="2"/>
  <c r="D511" i="2"/>
  <c r="B512" i="2"/>
  <c r="D512" i="2"/>
  <c r="B513" i="2"/>
  <c r="D513" i="2"/>
  <c r="B514" i="2"/>
  <c r="D514" i="2"/>
  <c r="B515" i="2"/>
  <c r="D515" i="2"/>
  <c r="B516" i="2"/>
  <c r="D516" i="2"/>
  <c r="B517" i="2"/>
  <c r="D517" i="2"/>
  <c r="B518" i="2"/>
  <c r="D518" i="2"/>
  <c r="F518" i="2" s="1"/>
  <c r="B519" i="2"/>
  <c r="D519" i="2"/>
  <c r="F519" i="2" s="1"/>
  <c r="B520" i="2"/>
  <c r="D520" i="2"/>
  <c r="B521" i="2"/>
  <c r="D521" i="2"/>
  <c r="B522" i="2"/>
  <c r="D522" i="2"/>
  <c r="B523" i="2"/>
  <c r="D523" i="2"/>
  <c r="F523" i="2" s="1"/>
  <c r="B524" i="2"/>
  <c r="D524" i="2"/>
  <c r="F524" i="2" s="1"/>
  <c r="B525" i="2"/>
  <c r="D525" i="2"/>
  <c r="B526" i="2"/>
  <c r="D526" i="2"/>
  <c r="B527" i="2"/>
  <c r="D527" i="2"/>
  <c r="B528" i="2"/>
  <c r="D528" i="2"/>
  <c r="B529" i="2"/>
  <c r="D529" i="2"/>
  <c r="B530" i="2"/>
  <c r="D530" i="2"/>
  <c r="B531" i="2"/>
  <c r="D531" i="2"/>
  <c r="B532" i="2"/>
  <c r="D532" i="2"/>
  <c r="B533" i="2"/>
  <c r="D533" i="2"/>
  <c r="B534" i="2"/>
  <c r="D534" i="2"/>
  <c r="B535" i="2"/>
  <c r="D535" i="2"/>
  <c r="B536" i="2"/>
  <c r="D536" i="2"/>
  <c r="B537" i="2"/>
  <c r="D537" i="2"/>
  <c r="F537" i="2" s="1"/>
  <c r="B538" i="2"/>
  <c r="D538" i="2"/>
  <c r="B539" i="2"/>
  <c r="D539" i="2"/>
  <c r="F539" i="2" s="1"/>
  <c r="B540" i="2"/>
  <c r="D540" i="2"/>
  <c r="B541" i="2"/>
  <c r="D541" i="2"/>
  <c r="B542" i="2"/>
  <c r="D542" i="2"/>
  <c r="B543" i="2"/>
  <c r="D543" i="2"/>
  <c r="B544" i="2"/>
  <c r="D544" i="2"/>
  <c r="B545" i="2"/>
  <c r="D545" i="2"/>
  <c r="B546" i="2"/>
  <c r="D546" i="2"/>
  <c r="B547" i="2"/>
  <c r="D547" i="2"/>
  <c r="B548" i="2"/>
  <c r="D548" i="2"/>
  <c r="B549" i="2"/>
  <c r="D549" i="2"/>
  <c r="B550" i="2"/>
  <c r="D550" i="2"/>
  <c r="B551" i="2"/>
  <c r="D551" i="2"/>
  <c r="B552" i="2"/>
  <c r="D552" i="2"/>
  <c r="B553" i="2"/>
  <c r="D553" i="2"/>
  <c r="B554" i="2"/>
  <c r="D554" i="2"/>
  <c r="B555" i="2"/>
  <c r="D555" i="2"/>
  <c r="B556" i="2"/>
  <c r="D556" i="2"/>
  <c r="B557" i="2"/>
  <c r="D557" i="2"/>
  <c r="B558" i="2"/>
  <c r="D558" i="2"/>
  <c r="F558" i="2"/>
  <c r="B559" i="2"/>
  <c r="D559" i="2"/>
  <c r="F559" i="2" s="1"/>
  <c r="B560" i="2"/>
  <c r="D560" i="2"/>
  <c r="B561" i="2"/>
  <c r="D561" i="2"/>
  <c r="B562" i="2"/>
  <c r="D562" i="2"/>
  <c r="B563" i="2"/>
  <c r="D563" i="2"/>
  <c r="B564" i="2"/>
  <c r="D564" i="2"/>
  <c r="B565" i="2"/>
  <c r="D565" i="2"/>
  <c r="B566" i="2"/>
  <c r="D566" i="2"/>
  <c r="B567" i="2"/>
  <c r="D567" i="2"/>
  <c r="B568" i="2"/>
  <c r="D568" i="2"/>
  <c r="B569" i="2"/>
  <c r="D569" i="2"/>
  <c r="B570" i="2"/>
  <c r="D570" i="2"/>
  <c r="B571" i="2"/>
  <c r="D571" i="2"/>
  <c r="B572" i="2"/>
  <c r="D572" i="2"/>
  <c r="F572" i="2"/>
  <c r="B573" i="2"/>
  <c r="D573" i="2"/>
  <c r="B574" i="2"/>
  <c r="D574" i="2"/>
  <c r="B575" i="2"/>
  <c r="D575" i="2"/>
  <c r="B576" i="2"/>
  <c r="D576" i="2"/>
  <c r="F576" i="2" s="1"/>
  <c r="B577" i="2"/>
  <c r="D577" i="2"/>
  <c r="B578" i="2"/>
  <c r="D578" i="2"/>
  <c r="B579" i="2"/>
  <c r="D579" i="2"/>
  <c r="B580" i="2"/>
  <c r="D580" i="2"/>
  <c r="B581" i="2"/>
  <c r="D581" i="2"/>
  <c r="B582" i="2"/>
  <c r="D582" i="2"/>
  <c r="B583" i="2"/>
  <c r="D583" i="2"/>
  <c r="B584" i="2"/>
  <c r="D584" i="2"/>
  <c r="B585" i="2"/>
  <c r="D585" i="2"/>
  <c r="B586" i="2"/>
  <c r="D586" i="2"/>
  <c r="B587" i="2"/>
  <c r="D587" i="2"/>
  <c r="B588" i="2"/>
  <c r="D588" i="2"/>
  <c r="B589" i="2"/>
  <c r="D589" i="2"/>
  <c r="B590" i="2"/>
  <c r="D590" i="2"/>
  <c r="B591" i="2"/>
  <c r="D591" i="2"/>
  <c r="B592" i="2"/>
  <c r="D592" i="2"/>
  <c r="B593" i="2"/>
  <c r="D593" i="2"/>
  <c r="B594" i="2"/>
  <c r="D594" i="2"/>
  <c r="F594" i="2" s="1"/>
  <c r="B595" i="2"/>
  <c r="D595" i="2"/>
  <c r="B596" i="2"/>
  <c r="D596" i="2"/>
  <c r="B597" i="2"/>
  <c r="D597" i="2"/>
  <c r="F597" i="2" s="1"/>
  <c r="B598" i="2"/>
  <c r="D598" i="2"/>
  <c r="B599" i="2"/>
  <c r="D599" i="2"/>
  <c r="B600" i="2"/>
  <c r="D600" i="2"/>
  <c r="B601" i="2"/>
  <c r="D601" i="2"/>
  <c r="B602" i="2"/>
  <c r="D602" i="2"/>
  <c r="B603" i="2"/>
  <c r="D603" i="2"/>
  <c r="B604" i="2"/>
  <c r="D604" i="2"/>
  <c r="F604" i="2"/>
  <c r="B605" i="2"/>
  <c r="D605" i="2"/>
  <c r="B606" i="2"/>
  <c r="D606" i="2"/>
  <c r="B607" i="2"/>
  <c r="D607" i="2"/>
  <c r="B608" i="2"/>
  <c r="D608" i="2"/>
  <c r="B609" i="2"/>
  <c r="D609" i="2"/>
  <c r="B610" i="2"/>
  <c r="D610" i="2"/>
  <c r="B611" i="2"/>
  <c r="D611" i="2"/>
  <c r="B612" i="2"/>
  <c r="D612" i="2"/>
  <c r="B613" i="2"/>
  <c r="D613" i="2"/>
  <c r="F613" i="2" s="1"/>
  <c r="B614" i="2"/>
  <c r="D614" i="2"/>
  <c r="B615" i="2"/>
  <c r="D615" i="2"/>
  <c r="F615" i="2"/>
  <c r="B616" i="2"/>
  <c r="D616" i="2"/>
  <c r="B617" i="2"/>
  <c r="D617" i="2"/>
  <c r="B618" i="2"/>
  <c r="D618" i="2"/>
  <c r="B619" i="2"/>
  <c r="D619" i="2"/>
  <c r="B620" i="2"/>
  <c r="D620" i="2"/>
  <c r="B621" i="2"/>
  <c r="D621" i="2"/>
  <c r="B622" i="2"/>
  <c r="D622" i="2"/>
  <c r="B623" i="2"/>
  <c r="D623" i="2"/>
  <c r="F623" i="2" s="1"/>
  <c r="B624" i="2"/>
  <c r="D624" i="2"/>
  <c r="B625" i="2"/>
  <c r="D625" i="2"/>
  <c r="B626" i="2"/>
  <c r="D626" i="2"/>
  <c r="B627" i="2"/>
  <c r="D627" i="2"/>
  <c r="B628" i="2"/>
  <c r="D628" i="2"/>
  <c r="B629" i="2"/>
  <c r="D629" i="2"/>
  <c r="B630" i="2"/>
  <c r="D630" i="2"/>
  <c r="B631" i="2"/>
  <c r="D631" i="2"/>
  <c r="B632" i="2"/>
  <c r="D632" i="2"/>
  <c r="F632" i="2" s="1"/>
  <c r="B633" i="2"/>
  <c r="D633" i="2"/>
  <c r="B634" i="2"/>
  <c r="D634" i="2"/>
  <c r="B635" i="2"/>
  <c r="D635" i="2"/>
  <c r="B636" i="2"/>
  <c r="D636" i="2"/>
  <c r="B637" i="2"/>
  <c r="D637" i="2"/>
  <c r="B638" i="2"/>
  <c r="D638" i="2"/>
  <c r="B639" i="2"/>
  <c r="D639" i="2"/>
  <c r="B640" i="2"/>
  <c r="D640" i="2"/>
  <c r="B641" i="2"/>
  <c r="D641" i="2"/>
  <c r="B642" i="2"/>
  <c r="D642" i="2"/>
  <c r="B643" i="2"/>
  <c r="D643" i="2"/>
  <c r="F643" i="2" s="1"/>
  <c r="B644" i="2"/>
  <c r="D644" i="2"/>
  <c r="B645" i="2"/>
  <c r="D645" i="2"/>
  <c r="B646" i="2"/>
  <c r="D646" i="2"/>
  <c r="B647" i="2"/>
  <c r="D647" i="2"/>
  <c r="B648" i="2"/>
  <c r="D648" i="2"/>
  <c r="B649" i="2"/>
  <c r="D649" i="2"/>
  <c r="B650" i="2"/>
  <c r="D650" i="2"/>
  <c r="F650" i="2"/>
  <c r="B651" i="2"/>
  <c r="D651" i="2"/>
  <c r="F651" i="2"/>
  <c r="B652" i="2"/>
  <c r="D652" i="2"/>
  <c r="B653" i="2"/>
  <c r="D653" i="2"/>
  <c r="B654" i="2"/>
  <c r="D654" i="2"/>
  <c r="B655" i="2"/>
  <c r="D655" i="2"/>
  <c r="B656" i="2"/>
  <c r="D656" i="2"/>
  <c r="B657" i="2"/>
  <c r="D657" i="2"/>
  <c r="B658" i="2"/>
  <c r="D658" i="2"/>
  <c r="F658" i="2"/>
  <c r="B659" i="2"/>
  <c r="D659" i="2"/>
  <c r="F659" i="2" s="1"/>
  <c r="B660" i="2"/>
  <c r="D660" i="2"/>
  <c r="F660" i="2" s="1"/>
  <c r="B661" i="2"/>
  <c r="D661" i="2"/>
  <c r="B662" i="2"/>
  <c r="D662" i="2"/>
  <c r="B663" i="2"/>
  <c r="D663" i="2"/>
  <c r="B664" i="2"/>
  <c r="D664" i="2"/>
  <c r="B665" i="2"/>
  <c r="D665" i="2"/>
  <c r="B666" i="2"/>
  <c r="D666" i="2"/>
  <c r="B667" i="2"/>
  <c r="D667" i="2"/>
  <c r="B668" i="2"/>
  <c r="D668" i="2"/>
  <c r="B669" i="2"/>
  <c r="D669" i="2"/>
  <c r="F669" i="2" s="1"/>
  <c r="B670" i="2"/>
  <c r="D670" i="2"/>
  <c r="F670" i="2" s="1"/>
  <c r="B671" i="2"/>
  <c r="D671" i="2"/>
  <c r="B672" i="2"/>
  <c r="D672" i="2"/>
  <c r="B673" i="2"/>
  <c r="D673" i="2"/>
  <c r="B674" i="2"/>
  <c r="D674" i="2"/>
  <c r="B675" i="2"/>
  <c r="D675" i="2"/>
  <c r="B676" i="2"/>
  <c r="D676" i="2"/>
  <c r="B677" i="2"/>
  <c r="D677" i="2"/>
  <c r="B678" i="2"/>
  <c r="D678" i="2"/>
  <c r="F678" i="2"/>
  <c r="B679" i="2"/>
  <c r="D679" i="2"/>
  <c r="F679" i="2"/>
  <c r="B680" i="2"/>
  <c r="D680" i="2"/>
  <c r="F680" i="2" s="1"/>
  <c r="B681" i="2"/>
  <c r="D681" i="2"/>
  <c r="B682" i="2"/>
  <c r="D682" i="2"/>
  <c r="B683" i="2"/>
  <c r="D683" i="2"/>
  <c r="F683" i="2"/>
  <c r="H683" i="2" s="1"/>
  <c r="B684" i="2"/>
  <c r="D684" i="2"/>
  <c r="B685" i="2"/>
  <c r="D685" i="2"/>
  <c r="B686" i="2"/>
  <c r="D686" i="2"/>
  <c r="B687" i="2"/>
  <c r="D687" i="2"/>
  <c r="B688" i="2"/>
  <c r="D688" i="2"/>
  <c r="B689" i="2"/>
  <c r="D689" i="2"/>
  <c r="F689" i="2" s="1"/>
  <c r="B690" i="2"/>
  <c r="D690" i="2"/>
  <c r="B691" i="2"/>
  <c r="D691" i="2"/>
  <c r="B692" i="2"/>
  <c r="D692" i="2"/>
  <c r="B693" i="2"/>
  <c r="D693" i="2"/>
  <c r="B694" i="2"/>
  <c r="D694" i="2"/>
  <c r="B695" i="2"/>
  <c r="D695" i="2"/>
  <c r="B696" i="2"/>
  <c r="D696" i="2"/>
  <c r="F696" i="2" s="1"/>
  <c r="B697" i="2"/>
  <c r="D697" i="2"/>
  <c r="F697" i="2"/>
  <c r="B698" i="2"/>
  <c r="D698" i="2"/>
  <c r="F698" i="2" s="1"/>
  <c r="B699" i="2"/>
  <c r="D699" i="2"/>
  <c r="F699" i="2" s="1"/>
  <c r="B6" i="2"/>
  <c r="D6" i="2"/>
  <c r="B7" i="2"/>
  <c r="D7" i="2"/>
  <c r="B8" i="2"/>
  <c r="D8" i="2"/>
  <c r="B9" i="2"/>
  <c r="D9" i="2"/>
  <c r="B10" i="2"/>
  <c r="D10" i="2"/>
  <c r="B5" i="2"/>
  <c r="D5" i="2"/>
  <c r="B4" i="2"/>
  <c r="D4" i="2"/>
  <c r="F4" i="2" s="1"/>
  <c r="D3" i="2"/>
  <c r="B3" i="2"/>
  <c r="L3" i="1"/>
  <c r="K3" i="1"/>
  <c r="G3" i="1"/>
  <c r="H3" i="1" s="1"/>
  <c r="I3" i="1" s="1"/>
  <c r="H4" i="1"/>
  <c r="I4" i="1" s="1"/>
  <c r="L4" i="1" s="1"/>
  <c r="M4" i="1" s="1"/>
  <c r="H5" i="1"/>
  <c r="I5" i="1" s="1"/>
  <c r="L5" i="1" s="1"/>
  <c r="M5" i="1" s="1"/>
  <c r="H6" i="1"/>
  <c r="I6" i="1" s="1"/>
  <c r="L6" i="1" s="1"/>
  <c r="M6" i="1" s="1"/>
  <c r="H7" i="1"/>
  <c r="I7" i="1" s="1"/>
  <c r="L7" i="1" s="1"/>
  <c r="M7" i="1" s="1"/>
  <c r="H8" i="1"/>
  <c r="I8" i="1" s="1"/>
  <c r="L8" i="1" s="1"/>
  <c r="M8" i="1" s="1"/>
  <c r="H9" i="1"/>
  <c r="I9" i="1" s="1"/>
  <c r="L9" i="1" s="1"/>
  <c r="M9" i="1" s="1"/>
  <c r="H10" i="1"/>
  <c r="I10" i="1" s="1"/>
  <c r="L10" i="1" s="1"/>
  <c r="M10" i="1" s="1"/>
  <c r="H11" i="1"/>
  <c r="I11" i="1" s="1"/>
  <c r="L11" i="1" s="1"/>
  <c r="M11" i="1" s="1"/>
  <c r="H12" i="1"/>
  <c r="I12" i="1" s="1"/>
  <c r="L12" i="1" s="1"/>
  <c r="M12" i="1" s="1"/>
  <c r="H13" i="1"/>
  <c r="I13" i="1" s="1"/>
  <c r="L13" i="1" s="1"/>
  <c r="M13" i="1" s="1"/>
  <c r="H14" i="1"/>
  <c r="I14" i="1" s="1"/>
  <c r="L14" i="1" s="1"/>
  <c r="M14" i="1" s="1"/>
  <c r="H15" i="1"/>
  <c r="I15" i="1" s="1"/>
  <c r="L15" i="1" s="1"/>
  <c r="M15" i="1" s="1"/>
  <c r="H16" i="1"/>
  <c r="I16" i="1" s="1"/>
  <c r="L16" i="1" s="1"/>
  <c r="M16" i="1" s="1"/>
  <c r="H17" i="1"/>
  <c r="I17" i="1" s="1"/>
  <c r="L17" i="1" s="1"/>
  <c r="M17" i="1" s="1"/>
  <c r="H18" i="1"/>
  <c r="I18" i="1" s="1"/>
  <c r="L18" i="1" s="1"/>
  <c r="M18" i="1" s="1"/>
  <c r="H19" i="1"/>
  <c r="I19" i="1" s="1"/>
  <c r="L19" i="1" s="1"/>
  <c r="M19" i="1" s="1"/>
  <c r="H20" i="1"/>
  <c r="I20" i="1" s="1"/>
  <c r="L20" i="1" s="1"/>
  <c r="M20" i="1" s="1"/>
  <c r="H21" i="1"/>
  <c r="I21" i="1" s="1"/>
  <c r="L21" i="1" s="1"/>
  <c r="M21" i="1" s="1"/>
  <c r="H22" i="1"/>
  <c r="I22" i="1" s="1"/>
  <c r="L22" i="1" s="1"/>
  <c r="M22" i="1" s="1"/>
  <c r="H23" i="1"/>
  <c r="I23" i="1" s="1"/>
  <c r="L23" i="1" s="1"/>
  <c r="M23" i="1" s="1"/>
  <c r="H24" i="1"/>
  <c r="I24" i="1" s="1"/>
  <c r="L24" i="1" s="1"/>
  <c r="M24" i="1" s="1"/>
  <c r="H25" i="1"/>
  <c r="I25" i="1" s="1"/>
  <c r="L25" i="1" s="1"/>
  <c r="M25" i="1" s="1"/>
  <c r="H26" i="1"/>
  <c r="I26" i="1" s="1"/>
  <c r="L26" i="1" s="1"/>
  <c r="M26" i="1" s="1"/>
  <c r="G15" i="1"/>
  <c r="J15" i="1" s="1"/>
  <c r="K15" i="1" s="1"/>
  <c r="G16" i="1"/>
  <c r="J16" i="1" s="1"/>
  <c r="K16" i="1" s="1"/>
  <c r="G17" i="1"/>
  <c r="J17" i="1" s="1"/>
  <c r="K17" i="1" s="1"/>
  <c r="G18" i="1"/>
  <c r="J18" i="1" s="1"/>
  <c r="K18" i="1" s="1"/>
  <c r="G19" i="1"/>
  <c r="J19" i="1" s="1"/>
  <c r="K19" i="1" s="1"/>
  <c r="F4" i="1"/>
  <c r="G4" i="1" s="1"/>
  <c r="J4" i="1" s="1"/>
  <c r="K4" i="1" s="1"/>
  <c r="F5" i="1"/>
  <c r="G5" i="1" s="1"/>
  <c r="J5" i="1" s="1"/>
  <c r="K5" i="1" s="1"/>
  <c r="F6" i="1"/>
  <c r="G6" i="1" s="1"/>
  <c r="J6" i="1" s="1"/>
  <c r="K6" i="1" s="1"/>
  <c r="F7" i="1"/>
  <c r="G7" i="1" s="1"/>
  <c r="J7" i="1" s="1"/>
  <c r="K7" i="1" s="1"/>
  <c r="F8" i="1"/>
  <c r="G8" i="1" s="1"/>
  <c r="J8" i="1" s="1"/>
  <c r="K8" i="1" s="1"/>
  <c r="F9" i="1"/>
  <c r="G9" i="1" s="1"/>
  <c r="J9" i="1" s="1"/>
  <c r="K9" i="1" s="1"/>
  <c r="F10" i="1"/>
  <c r="G10" i="1" s="1"/>
  <c r="J10" i="1" s="1"/>
  <c r="K10" i="1" s="1"/>
  <c r="F11" i="1"/>
  <c r="G11" i="1" s="1"/>
  <c r="J11" i="1" s="1"/>
  <c r="K11" i="1" s="1"/>
  <c r="F12" i="1"/>
  <c r="G12" i="1" s="1"/>
  <c r="J12" i="1" s="1"/>
  <c r="K12" i="1" s="1"/>
  <c r="F13" i="1"/>
  <c r="G13" i="1" s="1"/>
  <c r="J13" i="1" s="1"/>
  <c r="K13" i="1" s="1"/>
  <c r="F14" i="1"/>
  <c r="G14" i="1" s="1"/>
  <c r="J14" i="1" s="1"/>
  <c r="K14" i="1" s="1"/>
  <c r="F15" i="1"/>
  <c r="F16" i="1"/>
  <c r="F17" i="1"/>
  <c r="F18" i="1"/>
  <c r="F19" i="1"/>
  <c r="F20" i="1"/>
  <c r="G20" i="1" s="1"/>
  <c r="J20" i="1" s="1"/>
  <c r="K20" i="1" s="1"/>
  <c r="F21" i="1"/>
  <c r="G21" i="1" s="1"/>
  <c r="J21" i="1" s="1"/>
  <c r="K21" i="1" s="1"/>
  <c r="F22" i="1"/>
  <c r="G22" i="1" s="1"/>
  <c r="J22" i="1" s="1"/>
  <c r="K22" i="1" s="1"/>
  <c r="F23" i="1"/>
  <c r="G23" i="1" s="1"/>
  <c r="J23" i="1" s="1"/>
  <c r="K23" i="1" s="1"/>
  <c r="F24" i="1"/>
  <c r="G24" i="1" s="1"/>
  <c r="J24" i="1" s="1"/>
  <c r="K24" i="1" s="1"/>
  <c r="F25" i="1"/>
  <c r="G25" i="1" s="1"/>
  <c r="J25" i="1" s="1"/>
  <c r="K25" i="1" s="1"/>
  <c r="F26" i="1"/>
  <c r="G26" i="1" s="1"/>
  <c r="J26" i="1" s="1"/>
  <c r="K26" i="1" s="1"/>
  <c r="F3" i="1"/>
  <c r="H629" i="2" l="1"/>
  <c r="H490" i="2"/>
  <c r="H515" i="2"/>
  <c r="H445" i="2"/>
  <c r="H495" i="2"/>
  <c r="H514" i="2"/>
  <c r="H98" i="2"/>
  <c r="H650" i="2"/>
  <c r="H638" i="2"/>
  <c r="F549" i="2"/>
  <c r="F292" i="2"/>
  <c r="F692" i="2"/>
  <c r="F626" i="2"/>
  <c r="F587" i="2"/>
  <c r="F567" i="2"/>
  <c r="F625" i="2"/>
  <c r="F547" i="2"/>
  <c r="F329" i="2"/>
  <c r="H37" i="2"/>
  <c r="F586" i="2"/>
  <c r="F568" i="2"/>
  <c r="F449" i="2"/>
  <c r="F271" i="2"/>
  <c r="F6" i="2"/>
  <c r="F595" i="2"/>
  <c r="F575" i="2"/>
  <c r="F529" i="2"/>
  <c r="F528" i="2"/>
  <c r="F606" i="2"/>
  <c r="F349" i="2"/>
  <c r="F671" i="2"/>
  <c r="F614" i="2"/>
  <c r="F186" i="2"/>
  <c r="F176" i="2"/>
  <c r="F146" i="2"/>
  <c r="F126" i="2"/>
  <c r="F18" i="2"/>
  <c r="F373" i="2"/>
  <c r="F285" i="2"/>
  <c r="F106" i="2"/>
  <c r="F57" i="2"/>
  <c r="F677" i="2"/>
  <c r="F206" i="2"/>
  <c r="F166" i="2"/>
  <c r="F215" i="2"/>
  <c r="F165" i="2"/>
  <c r="F155" i="2"/>
  <c r="F145" i="2"/>
  <c r="F86" i="2"/>
  <c r="F675" i="2"/>
  <c r="F520" i="2"/>
  <c r="F352" i="2"/>
  <c r="F274" i="2"/>
  <c r="F66" i="2"/>
  <c r="F36" i="2"/>
  <c r="H226" i="2"/>
  <c r="H426" i="2"/>
  <c r="H50" i="2"/>
  <c r="H508" i="2"/>
  <c r="H209" i="2"/>
  <c r="H66" i="2"/>
  <c r="F46" i="2"/>
  <c r="H36" i="2"/>
  <c r="H141" i="2"/>
  <c r="H126" i="2"/>
  <c r="H106" i="2"/>
  <c r="H61" i="2"/>
  <c r="H621" i="2"/>
  <c r="H135" i="2"/>
  <c r="H645" i="2"/>
  <c r="H626" i="2"/>
  <c r="F546" i="2"/>
  <c r="F565" i="2"/>
  <c r="F486" i="2"/>
  <c r="H594" i="2"/>
  <c r="F545" i="2"/>
  <c r="F505" i="2"/>
  <c r="F466" i="2"/>
  <c r="F446" i="2"/>
  <c r="F408" i="2"/>
  <c r="F25" i="2"/>
  <c r="F661" i="2"/>
  <c r="F526" i="2"/>
  <c r="F506" i="2"/>
  <c r="H34" i="2"/>
  <c r="H669" i="2"/>
  <c r="F485" i="2"/>
  <c r="F622" i="2"/>
  <c r="H636" i="2"/>
  <c r="F321" i="2"/>
  <c r="F566" i="2"/>
  <c r="H503" i="2"/>
  <c r="H474" i="2"/>
  <c r="F286" i="2"/>
  <c r="F266" i="2"/>
  <c r="F246" i="2"/>
  <c r="F29" i="2"/>
  <c r="F605" i="2"/>
  <c r="H455" i="2"/>
  <c r="F686" i="2"/>
  <c r="F406" i="2"/>
  <c r="F386" i="2"/>
  <c r="F211" i="2"/>
  <c r="F121" i="2"/>
  <c r="F102" i="2"/>
  <c r="F73" i="2"/>
  <c r="F685" i="2"/>
  <c r="F552" i="2"/>
  <c r="F512" i="2"/>
  <c r="F434" i="2"/>
  <c r="F425" i="2"/>
  <c r="F92" i="2"/>
  <c r="H496" i="2"/>
  <c r="F666" i="2"/>
  <c r="F346" i="2"/>
  <c r="F249" i="2"/>
  <c r="F101" i="2"/>
  <c r="F551" i="2"/>
  <c r="F471" i="2"/>
  <c r="F432" i="2"/>
  <c r="F374" i="2"/>
  <c r="F335" i="2"/>
  <c r="F11" i="2"/>
  <c r="F492" i="2"/>
  <c r="F405" i="2"/>
  <c r="F130" i="2"/>
  <c r="F72" i="2"/>
  <c r="F52" i="2"/>
  <c r="F452" i="2"/>
  <c r="F646" i="2"/>
  <c r="F608" i="2"/>
  <c r="F569" i="2"/>
  <c r="F393" i="2"/>
  <c r="F306" i="2"/>
  <c r="F218" i="2"/>
  <c r="F208" i="2"/>
  <c r="F198" i="2"/>
  <c r="F188" i="2"/>
  <c r="F158" i="2"/>
  <c r="F148" i="2"/>
  <c r="F118" i="2"/>
  <c r="F109" i="2"/>
  <c r="H80" i="2"/>
  <c r="F42" i="2"/>
  <c r="F618" i="2"/>
  <c r="F599" i="2"/>
  <c r="F579" i="2"/>
  <c r="F442" i="2"/>
  <c r="F365" i="2"/>
  <c r="F345" i="2"/>
  <c r="F278" i="2"/>
  <c r="F268" i="2"/>
  <c r="F258" i="2"/>
  <c r="F219" i="2"/>
  <c r="F199" i="2"/>
  <c r="F179" i="2"/>
  <c r="F159" i="2"/>
  <c r="F139" i="2"/>
  <c r="F32" i="2"/>
  <c r="H567" i="2"/>
  <c r="H30" i="2"/>
  <c r="H132" i="2"/>
  <c r="H586" i="2"/>
  <c r="H420" i="2"/>
  <c r="F585" i="2"/>
  <c r="H670" i="2"/>
  <c r="H543" i="2"/>
  <c r="H128" i="2"/>
  <c r="H366" i="2"/>
  <c r="H370" i="2"/>
  <c r="F140" i="2"/>
  <c r="H73" i="2"/>
  <c r="F63" i="2"/>
  <c r="F501" i="2"/>
  <c r="H336" i="2"/>
  <c r="H326" i="2"/>
  <c r="H239" i="2"/>
  <c r="H127" i="2"/>
  <c r="F54" i="2"/>
  <c r="H520" i="2"/>
  <c r="F316" i="2"/>
  <c r="H32" i="2"/>
  <c r="H583" i="2"/>
  <c r="H692" i="2"/>
  <c r="H480" i="2"/>
  <c r="F403" i="2"/>
  <c r="F364" i="2"/>
  <c r="F325" i="2"/>
  <c r="F178" i="2"/>
  <c r="F168" i="2"/>
  <c r="H499" i="2"/>
  <c r="H383" i="2"/>
  <c r="H699" i="2"/>
  <c r="H680" i="2"/>
  <c r="H35" i="2"/>
  <c r="H103" i="2"/>
  <c r="F131" i="2"/>
  <c r="H510" i="2"/>
  <c r="H442" i="2"/>
  <c r="H587" i="2"/>
  <c r="F577" i="2"/>
  <c r="H472" i="2"/>
  <c r="F584" i="2"/>
  <c r="H352" i="2"/>
  <c r="F216" i="2"/>
  <c r="H186" i="2"/>
  <c r="F687" i="2"/>
  <c r="F487" i="2"/>
  <c r="F117" i="2"/>
  <c r="F21" i="2"/>
  <c r="F668" i="2"/>
  <c r="F525" i="2"/>
  <c r="F477" i="2"/>
  <c r="F284" i="2"/>
  <c r="F225" i="2"/>
  <c r="F205" i="2"/>
  <c r="F185" i="2"/>
  <c r="H79" i="2"/>
  <c r="H59" i="2"/>
  <c r="H39" i="2"/>
  <c r="F331" i="2"/>
  <c r="F48" i="2"/>
  <c r="F10" i="2"/>
  <c r="H419" i="2"/>
  <c r="F592" i="2"/>
  <c r="F447" i="2"/>
  <c r="F360" i="2"/>
  <c r="F224" i="2"/>
  <c r="F533" i="2"/>
  <c r="F504" i="2"/>
  <c r="F676" i="2"/>
  <c r="F684" i="2"/>
  <c r="F561" i="2"/>
  <c r="F231" i="2"/>
  <c r="H113" i="2"/>
  <c r="F27" i="2"/>
  <c r="H152" i="2"/>
  <c r="H572" i="2"/>
  <c r="H399" i="2"/>
  <c r="F350" i="2"/>
  <c r="F293" i="2"/>
  <c r="F253" i="2"/>
  <c r="F184" i="2"/>
  <c r="F164" i="2"/>
  <c r="F125" i="2"/>
  <c r="F630" i="2"/>
  <c r="F456" i="2"/>
  <c r="H418" i="2"/>
  <c r="H509" i="2"/>
  <c r="H446" i="2"/>
  <c r="F665" i="2"/>
  <c r="H600" i="2"/>
  <c r="H618" i="2"/>
  <c r="F122" i="2"/>
  <c r="F94" i="2"/>
  <c r="F65" i="2"/>
  <c r="F55" i="2"/>
  <c r="F45" i="2"/>
  <c r="F667" i="2"/>
  <c r="F631" i="2"/>
  <c r="F402" i="2"/>
  <c r="F392" i="2"/>
  <c r="F305" i="2"/>
  <c r="F237" i="2"/>
  <c r="F110" i="2"/>
  <c r="F91" i="2"/>
  <c r="F695" i="2"/>
  <c r="F468" i="2"/>
  <c r="F372" i="2"/>
  <c r="F207" i="2"/>
  <c r="F197" i="2"/>
  <c r="F177" i="2"/>
  <c r="F484" i="2"/>
  <c r="F398" i="2"/>
  <c r="F38" i="2"/>
  <c r="H642" i="2"/>
  <c r="F570" i="2"/>
  <c r="F531" i="2"/>
  <c r="F378" i="2"/>
  <c r="F272" i="2"/>
  <c r="F163" i="2"/>
  <c r="F672" i="2"/>
  <c r="F550" i="2"/>
  <c r="F540" i="2"/>
  <c r="F521" i="2"/>
  <c r="F502" i="2"/>
  <c r="F493" i="2"/>
  <c r="F387" i="2"/>
  <c r="F358" i="2"/>
  <c r="F291" i="2"/>
  <c r="F232" i="2"/>
  <c r="F388" i="2"/>
  <c r="F311" i="2"/>
  <c r="F301" i="2"/>
  <c r="F417" i="2"/>
  <c r="F252" i="2"/>
  <c r="F223" i="2"/>
  <c r="F193" i="2"/>
  <c r="F652" i="2"/>
  <c r="F644" i="2"/>
  <c r="F616" i="2"/>
  <c r="F607" i="2"/>
  <c r="F588" i="2"/>
  <c r="F578" i="2"/>
  <c r="F435" i="2"/>
  <c r="F367" i="2"/>
  <c r="F338" i="2"/>
  <c r="F328" i="2"/>
  <c r="F261" i="2"/>
  <c r="F251" i="2"/>
  <c r="F123" i="2"/>
  <c r="F95" i="2"/>
  <c r="F76" i="2"/>
  <c r="F56" i="2"/>
  <c r="F28" i="2"/>
  <c r="F688" i="2"/>
  <c r="F634" i="2"/>
  <c r="F624" i="2"/>
  <c r="F548" i="2"/>
  <c r="F538" i="2"/>
  <c r="F453" i="2"/>
  <c r="F444" i="2"/>
  <c r="F396" i="2"/>
  <c r="F290" i="2"/>
  <c r="F212" i="2"/>
  <c r="F192" i="2"/>
  <c r="F172" i="2"/>
  <c r="F47" i="2"/>
  <c r="F19" i="2"/>
  <c r="F619" i="2"/>
  <c r="F562" i="2"/>
  <c r="F448" i="2"/>
  <c r="F332" i="2"/>
  <c r="F265" i="2"/>
  <c r="F236" i="2"/>
  <c r="F147" i="2"/>
  <c r="F71" i="2"/>
  <c r="H167" i="2"/>
  <c r="H235" i="2"/>
  <c r="H664" i="2"/>
  <c r="H559" i="2"/>
  <c r="H660" i="2"/>
  <c r="H614" i="2"/>
  <c r="H57" i="2"/>
  <c r="H33" i="2"/>
  <c r="H4" i="2"/>
  <c r="H658" i="2"/>
  <c r="F641" i="2"/>
  <c r="H604" i="2"/>
  <c r="H585" i="2"/>
  <c r="F557" i="2"/>
  <c r="H537" i="2"/>
  <c r="H518" i="2"/>
  <c r="H45" i="2"/>
  <c r="H440" i="2"/>
  <c r="H339" i="2"/>
  <c r="H643" i="2"/>
  <c r="H688" i="2"/>
  <c r="H659" i="2"/>
  <c r="H576" i="2"/>
  <c r="H623" i="2"/>
  <c r="F422" i="2"/>
  <c r="H373" i="2"/>
  <c r="F150" i="2"/>
  <c r="H93" i="2"/>
  <c r="H54" i="2"/>
  <c r="H153" i="2"/>
  <c r="H635" i="2"/>
  <c r="H12" i="2"/>
  <c r="H615" i="2"/>
  <c r="H377" i="2"/>
  <c r="H678" i="2"/>
  <c r="F649" i="2"/>
  <c r="H297" i="2"/>
  <c r="H431" i="2"/>
  <c r="H84" i="2"/>
  <c r="H62" i="2"/>
  <c r="H359" i="2"/>
  <c r="H597" i="2"/>
  <c r="H558" i="2"/>
  <c r="H437" i="2"/>
  <c r="F633" i="2"/>
  <c r="H374" i="2"/>
  <c r="H112" i="2"/>
  <c r="F430" i="2"/>
  <c r="F83" i="2"/>
  <c r="F467" i="2"/>
  <c r="F255" i="2"/>
  <c r="H245" i="2"/>
  <c r="F217" i="2"/>
  <c r="F129" i="2"/>
  <c r="H538" i="2"/>
  <c r="H24" i="2"/>
  <c r="H94" i="2"/>
  <c r="F74" i="2"/>
  <c r="F149" i="2"/>
  <c r="H439" i="2"/>
  <c r="F187" i="2"/>
  <c r="H532" i="2"/>
  <c r="F513" i="2"/>
  <c r="F476" i="2"/>
  <c r="H457" i="2"/>
  <c r="F361" i="2"/>
  <c r="H351" i="2"/>
  <c r="F341" i="2"/>
  <c r="F322" i="2"/>
  <c r="F303" i="2"/>
  <c r="F294" i="2"/>
  <c r="F157" i="2"/>
  <c r="H292" i="2"/>
  <c r="H689" i="2"/>
  <c r="H625" i="2"/>
  <c r="H417" i="2"/>
  <c r="H243" i="2"/>
  <c r="H698" i="2"/>
  <c r="H697" i="2"/>
  <c r="F596" i="2"/>
  <c r="H20" i="2"/>
  <c r="H696" i="2"/>
  <c r="H613" i="2"/>
  <c r="F640" i="2"/>
  <c r="H85" i="2"/>
  <c r="H694" i="2"/>
  <c r="F75" i="2"/>
  <c r="F421" i="2"/>
  <c r="H130" i="2"/>
  <c r="F227" i="2"/>
  <c r="F542" i="2"/>
  <c r="H438" i="2"/>
  <c r="F627" i="2"/>
  <c r="H447" i="2"/>
  <c r="H331" i="2"/>
  <c r="H312" i="2"/>
  <c r="H274" i="2"/>
  <c r="H264" i="2"/>
  <c r="F254" i="2"/>
  <c r="H206" i="2"/>
  <c r="F196" i="2"/>
  <c r="H469" i="2"/>
  <c r="H671" i="2"/>
  <c r="H511" i="2"/>
  <c r="H349" i="2"/>
  <c r="H282" i="2"/>
  <c r="H651" i="2"/>
  <c r="H539" i="2"/>
  <c r="H412" i="2"/>
  <c r="F120" i="2"/>
  <c r="H486" i="2"/>
  <c r="F617" i="2"/>
  <c r="H570" i="2"/>
  <c r="H551" i="2"/>
  <c r="F522" i="2"/>
  <c r="H512" i="2"/>
  <c r="H494" i="2"/>
  <c r="F475" i="2"/>
  <c r="F340" i="2"/>
  <c r="F302" i="2"/>
  <c r="H283" i="2"/>
  <c r="H244" i="2"/>
  <c r="H320" i="2"/>
  <c r="H530" i="2"/>
  <c r="H679" i="2"/>
  <c r="H519" i="2"/>
  <c r="H632" i="2"/>
  <c r="H104" i="2"/>
  <c r="H64" i="2"/>
  <c r="H111" i="2"/>
  <c r="H458" i="2"/>
  <c r="H138" i="2"/>
  <c r="H523" i="2"/>
  <c r="H608" i="2"/>
  <c r="F589" i="2"/>
  <c r="H579" i="2"/>
  <c r="F541" i="2"/>
  <c r="H598" i="2"/>
  <c r="F560" i="2"/>
  <c r="H465" i="2"/>
  <c r="H379" i="2"/>
  <c r="F369" i="2"/>
  <c r="F330" i="2"/>
  <c r="F273" i="2"/>
  <c r="F263" i="2"/>
  <c r="H250" i="2"/>
  <c r="F443" i="2"/>
  <c r="H319" i="2"/>
  <c r="F195" i="2"/>
  <c r="F53" i="2"/>
  <c r="F9" i="2"/>
  <c r="H479" i="2"/>
  <c r="F357" i="2"/>
  <c r="F136" i="2"/>
  <c r="F657" i="2"/>
  <c r="H612" i="2"/>
  <c r="F407" i="2"/>
  <c r="F156" i="2"/>
  <c r="H498" i="2"/>
  <c r="F234" i="2"/>
  <c r="F43" i="2"/>
  <c r="H451" i="2"/>
  <c r="F309" i="2"/>
  <c r="F214" i="2"/>
  <c r="F174" i="2"/>
  <c r="F100" i="2"/>
  <c r="H52" i="2"/>
  <c r="H25" i="2"/>
  <c r="F693" i="2"/>
  <c r="F497" i="2"/>
  <c r="F433" i="2"/>
  <c r="H424" i="2"/>
  <c r="F395" i="2"/>
  <c r="H385" i="2"/>
  <c r="F376" i="2"/>
  <c r="F337" i="2"/>
  <c r="F327" i="2"/>
  <c r="H318" i="2"/>
  <c r="F280" i="2"/>
  <c r="F270" i="2"/>
  <c r="F233" i="2"/>
  <c r="F154" i="2"/>
  <c r="F90" i="2"/>
  <c r="F262" i="2"/>
  <c r="H639" i="2"/>
  <c r="F281" i="2"/>
  <c r="H165" i="2"/>
  <c r="F16" i="2"/>
  <c r="F470" i="2"/>
  <c r="F347" i="2"/>
  <c r="H204" i="2"/>
  <c r="F8" i="2"/>
  <c r="F488" i="2"/>
  <c r="H478" i="2"/>
  <c r="F460" i="2"/>
  <c r="F441" i="2"/>
  <c r="F356" i="2"/>
  <c r="F308" i="2"/>
  <c r="F289" i="2"/>
  <c r="F260" i="2"/>
  <c r="F242" i="2"/>
  <c r="F213" i="2"/>
  <c r="F203" i="2"/>
  <c r="F183" i="2"/>
  <c r="F173" i="2"/>
  <c r="H99" i="2"/>
  <c r="F70" i="2"/>
  <c r="H51" i="2"/>
  <c r="F416" i="2"/>
  <c r="F368" i="2"/>
  <c r="H44" i="2"/>
  <c r="F310" i="2"/>
  <c r="F175" i="2"/>
  <c r="F137" i="2"/>
  <c r="H119" i="2"/>
  <c r="H425" i="2"/>
  <c r="F507" i="2"/>
  <c r="F194" i="2"/>
  <c r="F581" i="2"/>
  <c r="H524" i="2"/>
  <c r="F450" i="2"/>
  <c r="F423" i="2"/>
  <c r="H404" i="2"/>
  <c r="F394" i="2"/>
  <c r="F375" i="2"/>
  <c r="F317" i="2"/>
  <c r="H298" i="2"/>
  <c r="H279" i="2"/>
  <c r="F269" i="2"/>
  <c r="H144" i="2"/>
  <c r="F108" i="2"/>
  <c r="F89" i="2"/>
  <c r="H685" i="2"/>
  <c r="F603" i="2"/>
  <c r="F397" i="2"/>
  <c r="F17" i="2"/>
  <c r="F648" i="2"/>
  <c r="F462" i="2"/>
  <c r="F348" i="2"/>
  <c r="F300" i="2"/>
  <c r="F82" i="2"/>
  <c r="F656" i="2"/>
  <c r="F415" i="2"/>
  <c r="H271" i="2"/>
  <c r="F647" i="2"/>
  <c r="F489" i="2"/>
  <c r="F461" i="2"/>
  <c r="H299" i="2"/>
  <c r="F81" i="2"/>
  <c r="F553" i="2"/>
  <c r="H571" i="2"/>
  <c r="F590" i="2"/>
  <c r="F580" i="2"/>
  <c r="H552" i="2"/>
  <c r="H459" i="2"/>
  <c r="F413" i="2"/>
  <c r="H384" i="2"/>
  <c r="F355" i="2"/>
  <c r="F307" i="2"/>
  <c r="F288" i="2"/>
  <c r="H259" i="2"/>
  <c r="F241" i="2"/>
  <c r="F222" i="2"/>
  <c r="H212" i="2"/>
  <c r="F202" i="2"/>
  <c r="F182" i="2"/>
  <c r="F655" i="2"/>
  <c r="F344" i="2"/>
  <c r="F287" i="2"/>
  <c r="F240" i="2"/>
  <c r="F143" i="2"/>
  <c r="F41" i="2"/>
  <c r="F611" i="2"/>
  <c r="F536" i="2"/>
  <c r="F401" i="2"/>
  <c r="F363" i="2"/>
  <c r="F334" i="2"/>
  <c r="F315" i="2"/>
  <c r="F267" i="2"/>
  <c r="F230" i="2"/>
  <c r="F201" i="2"/>
  <c r="F191" i="2"/>
  <c r="F181" i="2"/>
  <c r="F171" i="2"/>
  <c r="F134" i="2"/>
  <c r="F116" i="2"/>
  <c r="F107" i="2"/>
  <c r="F88" i="2"/>
  <c r="F354" i="2"/>
  <c r="F221" i="2"/>
  <c r="F162" i="2"/>
  <c r="F60" i="2"/>
  <c r="F277" i="2"/>
  <c r="F654" i="2"/>
  <c r="F573" i="2"/>
  <c r="F555" i="2"/>
  <c r="F428" i="2"/>
  <c r="F381" i="2"/>
  <c r="F353" i="2"/>
  <c r="F343" i="2"/>
  <c r="F324" i="2"/>
  <c r="F296" i="2"/>
  <c r="F257" i="2"/>
  <c r="F220" i="2"/>
  <c r="F210" i="2"/>
  <c r="F161" i="2"/>
  <c r="F142" i="2"/>
  <c r="F97" i="2"/>
  <c r="F78" i="2"/>
  <c r="F68" i="2"/>
  <c r="F40" i="2"/>
  <c r="F23" i="2"/>
  <c r="F483" i="2"/>
  <c r="F7" i="2"/>
  <c r="F602" i="2"/>
  <c r="F527" i="2"/>
  <c r="F473" i="2"/>
  <c r="F248" i="2"/>
  <c r="F464" i="2"/>
  <c r="F691" i="2"/>
  <c r="F663" i="2"/>
  <c r="F637" i="2"/>
  <c r="F610" i="2"/>
  <c r="F601" i="2"/>
  <c r="F564" i="2"/>
  <c r="F535" i="2"/>
  <c r="F516" i="2"/>
  <c r="F491" i="2"/>
  <c r="F410" i="2"/>
  <c r="F400" i="2"/>
  <c r="F390" i="2"/>
  <c r="F371" i="2"/>
  <c r="F333" i="2"/>
  <c r="F314" i="2"/>
  <c r="F276" i="2"/>
  <c r="F247" i="2"/>
  <c r="F229" i="2"/>
  <c r="F200" i="2"/>
  <c r="F190" i="2"/>
  <c r="F180" i="2"/>
  <c r="F170" i="2"/>
  <c r="F133" i="2"/>
  <c r="F115" i="2"/>
  <c r="F87" i="2"/>
  <c r="F574" i="2"/>
  <c r="F69" i="2"/>
  <c r="F620" i="2"/>
  <c r="F593" i="2"/>
  <c r="F517" i="2"/>
  <c r="F411" i="2"/>
  <c r="F682" i="2"/>
  <c r="F482" i="2"/>
  <c r="F681" i="2"/>
  <c r="F653" i="2"/>
  <c r="F628" i="2"/>
  <c r="F582" i="2"/>
  <c r="F554" i="2"/>
  <c r="F544" i="2"/>
  <c r="F481" i="2"/>
  <c r="F463" i="2"/>
  <c r="F454" i="2"/>
  <c r="F427" i="2"/>
  <c r="F380" i="2"/>
  <c r="F362" i="2"/>
  <c r="F342" i="2"/>
  <c r="F323" i="2"/>
  <c r="F304" i="2"/>
  <c r="F295" i="2"/>
  <c r="F256" i="2"/>
  <c r="F238" i="2"/>
  <c r="F160" i="2"/>
  <c r="F151" i="2"/>
  <c r="F124" i="2"/>
  <c r="F96" i="2"/>
  <c r="F77" i="2"/>
  <c r="F67" i="2"/>
  <c r="F58" i="2"/>
  <c r="F49" i="2"/>
  <c r="F31" i="2"/>
  <c r="F22" i="2"/>
  <c r="F13" i="2"/>
  <c r="F674" i="2"/>
  <c r="F556" i="2"/>
  <c r="F429" i="2"/>
  <c r="F382" i="2"/>
  <c r="F500" i="2"/>
  <c r="F391" i="2"/>
  <c r="F673" i="2"/>
  <c r="F690" i="2"/>
  <c r="F662" i="2"/>
  <c r="F591" i="2"/>
  <c r="F563" i="2"/>
  <c r="F534" i="2"/>
  <c r="F436" i="2"/>
  <c r="F409" i="2"/>
  <c r="F389" i="2"/>
  <c r="F313" i="2"/>
  <c r="F275" i="2"/>
  <c r="F228" i="2"/>
  <c r="F189" i="2"/>
  <c r="F169" i="2"/>
  <c r="F114" i="2"/>
  <c r="F105" i="2"/>
  <c r="F2" i="2"/>
  <c r="G2" i="2" s="1"/>
  <c r="F5" i="2"/>
  <c r="J3" i="1"/>
  <c r="M3" i="1"/>
  <c r="H192" i="2" l="1"/>
  <c r="H139" i="2"/>
  <c r="H575" i="2"/>
  <c r="H211" i="2"/>
  <c r="H529" i="2"/>
  <c r="H86" i="2"/>
  <c r="H432" i="2"/>
  <c r="H118" i="2"/>
  <c r="H145" i="2"/>
  <c r="H159" i="2"/>
  <c r="H568" i="2"/>
  <c r="H148" i="2"/>
  <c r="H606" i="2"/>
  <c r="H224" i="2"/>
  <c r="H198" i="2"/>
  <c r="H540" i="2"/>
  <c r="H661" i="2"/>
  <c r="H492" i="2"/>
  <c r="H501" i="2"/>
  <c r="H285" i="2"/>
  <c r="H146" i="2"/>
  <c r="H121" i="2"/>
  <c r="H569" i="2"/>
  <c r="H449" i="2"/>
  <c r="H624" i="2"/>
  <c r="H528" i="2"/>
  <c r="H215" i="2"/>
  <c r="H166" i="2"/>
  <c r="H505" i="2"/>
  <c r="H11" i="2"/>
  <c r="H218" i="2"/>
  <c r="H92" i="2"/>
  <c r="H117" i="2"/>
  <c r="H644" i="2"/>
  <c r="H155" i="2"/>
  <c r="H595" i="2"/>
  <c r="H393" i="2"/>
  <c r="H172" i="2"/>
  <c r="H547" i="2"/>
  <c r="H549" i="2"/>
  <c r="H6" i="2"/>
  <c r="H668" i="2"/>
  <c r="H335" i="2"/>
  <c r="H506" i="2"/>
  <c r="H677" i="2"/>
  <c r="H329" i="2"/>
  <c r="H471" i="2"/>
  <c r="H350" i="2"/>
  <c r="H176" i="2"/>
  <c r="H18" i="2"/>
  <c r="H306" i="2"/>
  <c r="H675" i="2"/>
  <c r="H101" i="2"/>
  <c r="H46" i="2"/>
  <c r="H249" i="2"/>
  <c r="H177" i="2"/>
  <c r="H197" i="2"/>
  <c r="H29" i="2"/>
  <c r="H184" i="2"/>
  <c r="H232" i="2"/>
  <c r="H493" i="2"/>
  <c r="H42" i="2"/>
  <c r="H434" i="2"/>
  <c r="H266" i="2"/>
  <c r="H546" i="2"/>
  <c r="H403" i="2"/>
  <c r="H207" i="2"/>
  <c r="H646" i="2"/>
  <c r="H246" i="2"/>
  <c r="H56" i="2"/>
  <c r="H199" i="2"/>
  <c r="H286" i="2"/>
  <c r="H526" i="2"/>
  <c r="H686" i="2"/>
  <c r="H666" i="2"/>
  <c r="H477" i="2"/>
  <c r="H605" i="2"/>
  <c r="H408" i="2"/>
  <c r="H278" i="2"/>
  <c r="H444" i="2"/>
  <c r="H345" i="2"/>
  <c r="H208" i="2"/>
  <c r="H268" i="2"/>
  <c r="H466" i="2"/>
  <c r="H179" i="2"/>
  <c r="H219" i="2"/>
  <c r="H578" i="2"/>
  <c r="H258" i="2"/>
  <c r="H484" i="2"/>
  <c r="H485" i="2"/>
  <c r="H599" i="2"/>
  <c r="H338" i="2"/>
  <c r="H405" i="2"/>
  <c r="H448" i="2"/>
  <c r="H565" i="2"/>
  <c r="H365" i="2"/>
  <c r="H684" i="2"/>
  <c r="H652" i="2"/>
  <c r="H386" i="2"/>
  <c r="H545" i="2"/>
  <c r="H72" i="2"/>
  <c r="H158" i="2"/>
  <c r="H122" i="2"/>
  <c r="H188" i="2"/>
  <c r="H406" i="2"/>
  <c r="H346" i="2"/>
  <c r="H358" i="2"/>
  <c r="H109" i="2"/>
  <c r="H452" i="2"/>
  <c r="H91" i="2"/>
  <c r="H321" i="2"/>
  <c r="H102" i="2"/>
  <c r="H622" i="2"/>
  <c r="H566" i="2"/>
  <c r="H634" i="2"/>
  <c r="H223" i="2"/>
  <c r="H163" i="2"/>
  <c r="H378" i="2"/>
  <c r="H147" i="2"/>
  <c r="H305" i="2"/>
  <c r="H316" i="2"/>
  <c r="H531" i="2"/>
  <c r="H332" i="2"/>
  <c r="H76" i="2"/>
  <c r="H95" i="2"/>
  <c r="H525" i="2"/>
  <c r="H10" i="2"/>
  <c r="H619" i="2"/>
  <c r="H28" i="2"/>
  <c r="H562" i="2"/>
  <c r="H225" i="2"/>
  <c r="H251" i="2"/>
  <c r="H577" i="2"/>
  <c r="H123" i="2"/>
  <c r="H435" i="2"/>
  <c r="H290" i="2"/>
  <c r="H392" i="2"/>
  <c r="H47" i="2"/>
  <c r="H396" i="2"/>
  <c r="H588" i="2"/>
  <c r="H293" i="2"/>
  <c r="H360" i="2"/>
  <c r="H265" i="2"/>
  <c r="H325" i="2"/>
  <c r="H21" i="2"/>
  <c r="H48" i="2"/>
  <c r="H631" i="2"/>
  <c r="H205" i="2"/>
  <c r="H236" i="2"/>
  <c r="H402" i="2"/>
  <c r="H231" i="2"/>
  <c r="H311" i="2"/>
  <c r="H521" i="2"/>
  <c r="H372" i="2"/>
  <c r="H185" i="2"/>
  <c r="H284" i="2"/>
  <c r="H27" i="2"/>
  <c r="H328" i="2"/>
  <c r="H630" i="2"/>
  <c r="H364" i="2"/>
  <c r="H125" i="2"/>
  <c r="H272" i="2"/>
  <c r="H367" i="2"/>
  <c r="H71" i="2"/>
  <c r="H252" i="2"/>
  <c r="H561" i="2"/>
  <c r="H387" i="2"/>
  <c r="H19" i="2"/>
  <c r="H453" i="2"/>
  <c r="H592" i="2"/>
  <c r="H216" i="2"/>
  <c r="H504" i="2"/>
  <c r="H667" i="2"/>
  <c r="H550" i="2"/>
  <c r="H695" i="2"/>
  <c r="H291" i="2"/>
  <c r="H237" i="2"/>
  <c r="H548" i="2"/>
  <c r="H672" i="2"/>
  <c r="H168" i="2"/>
  <c r="H301" i="2"/>
  <c r="H388" i="2"/>
  <c r="H38" i="2"/>
  <c r="H261" i="2"/>
  <c r="H487" i="2"/>
  <c r="H676" i="2"/>
  <c r="H584" i="2"/>
  <c r="H164" i="2"/>
  <c r="H131" i="2"/>
  <c r="H533" i="2"/>
  <c r="H687" i="2"/>
  <c r="H665" i="2"/>
  <c r="H253" i="2"/>
  <c r="H456" i="2"/>
  <c r="H398" i="2"/>
  <c r="H55" i="2"/>
  <c r="H502" i="2"/>
  <c r="H616" i="2"/>
  <c r="H468" i="2"/>
  <c r="H178" i="2"/>
  <c r="H140" i="2"/>
  <c r="H607" i="2"/>
  <c r="H63" i="2"/>
  <c r="H65" i="2"/>
  <c r="H193" i="2"/>
  <c r="H110" i="2"/>
  <c r="H409" i="2"/>
  <c r="H397" i="2"/>
  <c r="H69" i="2"/>
  <c r="H527" i="2"/>
  <c r="H191" i="2"/>
  <c r="H603" i="2"/>
  <c r="H356" i="2"/>
  <c r="H433" i="2"/>
  <c r="H541" i="2"/>
  <c r="H534" i="2"/>
  <c r="H342" i="2"/>
  <c r="H276" i="2"/>
  <c r="H343" i="2"/>
  <c r="H281" i="2"/>
  <c r="H497" i="2"/>
  <c r="H9" i="2"/>
  <c r="H361" i="2"/>
  <c r="H150" i="2"/>
  <c r="H563" i="2"/>
  <c r="H362" i="2"/>
  <c r="H314" i="2"/>
  <c r="H353" i="2"/>
  <c r="H317" i="2"/>
  <c r="H693" i="2"/>
  <c r="H254" i="2"/>
  <c r="H591" i="2"/>
  <c r="H380" i="2"/>
  <c r="H333" i="2"/>
  <c r="H381" i="2"/>
  <c r="H461" i="2"/>
  <c r="H375" i="2"/>
  <c r="H53" i="2"/>
  <c r="H589" i="2"/>
  <c r="H421" i="2"/>
  <c r="H662" i="2"/>
  <c r="H427" i="2"/>
  <c r="H371" i="2"/>
  <c r="H428" i="2"/>
  <c r="H315" i="2"/>
  <c r="H489" i="2"/>
  <c r="H394" i="2"/>
  <c r="H137" i="2"/>
  <c r="H195" i="2"/>
  <c r="H369" i="2"/>
  <c r="H476" i="2"/>
  <c r="H633" i="2"/>
  <c r="H422" i="2"/>
  <c r="H296" i="2"/>
  <c r="H436" i="2"/>
  <c r="H323" i="2"/>
  <c r="H247" i="2"/>
  <c r="H324" i="2"/>
  <c r="H574" i="2"/>
  <c r="H602" i="2"/>
  <c r="H201" i="2"/>
  <c r="H355" i="2"/>
  <c r="H441" i="2"/>
  <c r="H263" i="2"/>
  <c r="H7" i="2"/>
  <c r="H230" i="2"/>
  <c r="H460" i="2"/>
  <c r="H154" i="2"/>
  <c r="H273" i="2"/>
  <c r="H475" i="2"/>
  <c r="H542" i="2"/>
  <c r="H217" i="2"/>
  <c r="H483" i="2"/>
  <c r="H267" i="2"/>
  <c r="H330" i="2"/>
  <c r="H690" i="2"/>
  <c r="H13" i="2"/>
  <c r="H454" i="2"/>
  <c r="H390" i="2"/>
  <c r="H555" i="2"/>
  <c r="H334" i="2"/>
  <c r="H647" i="2"/>
  <c r="H175" i="2"/>
  <c r="H488" i="2"/>
  <c r="H233" i="2"/>
  <c r="H363" i="2"/>
  <c r="H67" i="2"/>
  <c r="H582" i="2"/>
  <c r="H535" i="2"/>
  <c r="H40" i="2"/>
  <c r="H162" i="2"/>
  <c r="H41" i="2"/>
  <c r="H202" i="2"/>
  <c r="H108" i="2"/>
  <c r="H450" i="2"/>
  <c r="H327" i="2"/>
  <c r="H214" i="2"/>
  <c r="H407" i="2"/>
  <c r="H187" i="2"/>
  <c r="H83" i="2"/>
  <c r="H463" i="2"/>
  <c r="H270" i="2"/>
  <c r="H227" i="2"/>
  <c r="H391" i="2"/>
  <c r="H280" i="2"/>
  <c r="H513" i="2"/>
  <c r="H415" i="2"/>
  <c r="H100" i="2"/>
  <c r="H516" i="2"/>
  <c r="H156" i="2"/>
  <c r="H77" i="2"/>
  <c r="H143" i="2"/>
  <c r="H601" i="2"/>
  <c r="H157" i="2"/>
  <c r="H309" i="2"/>
  <c r="H300" i="2"/>
  <c r="H229" i="2"/>
  <c r="H573" i="2"/>
  <c r="H255" i="2"/>
  <c r="H500" i="2"/>
  <c r="H536" i="2"/>
  <c r="H554" i="2"/>
  <c r="H82" i="2"/>
  <c r="H337" i="2"/>
  <c r="H653" i="2"/>
  <c r="H240" i="2"/>
  <c r="H169" i="2"/>
  <c r="H482" i="2"/>
  <c r="H637" i="2"/>
  <c r="H344" i="2"/>
  <c r="H160" i="2"/>
  <c r="H682" i="2"/>
  <c r="H170" i="2"/>
  <c r="H663" i="2"/>
  <c r="H161" i="2"/>
  <c r="H348" i="2"/>
  <c r="H194" i="2"/>
  <c r="H213" i="2"/>
  <c r="H395" i="2"/>
  <c r="H136" i="2"/>
  <c r="H294" i="2"/>
  <c r="H129" i="2"/>
  <c r="H430" i="2"/>
  <c r="H304" i="2"/>
  <c r="H473" i="2"/>
  <c r="H196" i="2"/>
  <c r="H673" i="2"/>
  <c r="H400" i="2"/>
  <c r="H413" i="2"/>
  <c r="H8" i="2"/>
  <c r="H641" i="2"/>
  <c r="H481" i="2"/>
  <c r="H401" i="2"/>
  <c r="H522" i="2"/>
  <c r="H596" i="2"/>
  <c r="H60" i="2"/>
  <c r="H89" i="2"/>
  <c r="H70" i="2"/>
  <c r="H443" i="2"/>
  <c r="H556" i="2"/>
  <c r="H564" i="2"/>
  <c r="H96" i="2"/>
  <c r="H354" i="2"/>
  <c r="H470" i="2"/>
  <c r="H681" i="2"/>
  <c r="H580" i="2"/>
  <c r="H368" i="2"/>
  <c r="H560" i="2"/>
  <c r="H649" i="2"/>
  <c r="H151" i="2"/>
  <c r="H88" i="2"/>
  <c r="H302" i="2"/>
  <c r="H228" i="2"/>
  <c r="H107" i="2"/>
  <c r="H275" i="2"/>
  <c r="H238" i="2"/>
  <c r="H411" i="2"/>
  <c r="H180" i="2"/>
  <c r="H691" i="2"/>
  <c r="H210" i="2"/>
  <c r="H116" i="2"/>
  <c r="H462" i="2"/>
  <c r="H242" i="2"/>
  <c r="H262" i="2"/>
  <c r="H357" i="2"/>
  <c r="H303" i="2"/>
  <c r="H149" i="2"/>
  <c r="H308" i="2"/>
  <c r="H31" i="2"/>
  <c r="H654" i="2"/>
  <c r="H423" i="2"/>
  <c r="H75" i="2"/>
  <c r="H544" i="2"/>
  <c r="H310" i="2"/>
  <c r="H58" i="2"/>
  <c r="H23" i="2"/>
  <c r="H656" i="2"/>
  <c r="H429" i="2"/>
  <c r="H628" i="2"/>
  <c r="H221" i="2"/>
  <c r="H347" i="2"/>
  <c r="H114" i="2"/>
  <c r="H87" i="2"/>
  <c r="H376" i="2"/>
  <c r="H610" i="2"/>
  <c r="H287" i="2"/>
  <c r="H581" i="2"/>
  <c r="H189" i="2"/>
  <c r="H133" i="2"/>
  <c r="H241" i="2"/>
  <c r="H416" i="2"/>
  <c r="H5" i="2"/>
  <c r="H313" i="2"/>
  <c r="H256" i="2"/>
  <c r="H517" i="2"/>
  <c r="H190" i="2"/>
  <c r="H464" i="2"/>
  <c r="H220" i="2"/>
  <c r="H134" i="2"/>
  <c r="H288" i="2"/>
  <c r="H553" i="2"/>
  <c r="H648" i="2"/>
  <c r="H269" i="2"/>
  <c r="H260" i="2"/>
  <c r="H90" i="2"/>
  <c r="H43" i="2"/>
  <c r="H340" i="2"/>
  <c r="H640" i="2"/>
  <c r="H322" i="2"/>
  <c r="H74" i="2"/>
  <c r="H620" i="2"/>
  <c r="H181" i="2"/>
  <c r="H627" i="2"/>
  <c r="H22" i="2"/>
  <c r="H410" i="2"/>
  <c r="H182" i="2"/>
  <c r="H49" i="2"/>
  <c r="H491" i="2"/>
  <c r="H277" i="2"/>
  <c r="H467" i="2"/>
  <c r="H382" i="2"/>
  <c r="H611" i="2"/>
  <c r="H174" i="2"/>
  <c r="H105" i="2"/>
  <c r="H68" i="2"/>
  <c r="H674" i="2"/>
  <c r="H78" i="2"/>
  <c r="H173" i="2"/>
  <c r="H617" i="2"/>
  <c r="H124" i="2"/>
  <c r="H115" i="2"/>
  <c r="H97" i="2"/>
  <c r="H222" i="2"/>
  <c r="H183" i="2"/>
  <c r="H657" i="2"/>
  <c r="H142" i="2"/>
  <c r="H590" i="2"/>
  <c r="H203" i="2"/>
  <c r="H655" i="2"/>
  <c r="H389" i="2"/>
  <c r="H295" i="2"/>
  <c r="H593" i="2"/>
  <c r="H200" i="2"/>
  <c r="H248" i="2"/>
  <c r="H257" i="2"/>
  <c r="H171" i="2"/>
  <c r="H307" i="2"/>
  <c r="H81" i="2"/>
  <c r="H17" i="2"/>
  <c r="H507" i="2"/>
  <c r="H289" i="2"/>
  <c r="H16" i="2"/>
  <c r="H234" i="2"/>
  <c r="H120" i="2"/>
  <c r="H341" i="2"/>
  <c r="H557" i="2"/>
  <c r="H2" i="2"/>
</calcChain>
</file>

<file path=xl/sharedStrings.xml><?xml version="1.0" encoding="utf-8"?>
<sst xmlns="http://schemas.openxmlformats.org/spreadsheetml/2006/main" count="88" uniqueCount="62">
  <si>
    <t>fclk</t>
    <phoneticPr fontId="1" type="noConversion"/>
  </si>
  <si>
    <t>C4</t>
    <phoneticPr fontId="1" type="noConversion"/>
  </si>
  <si>
    <t>D4</t>
    <phoneticPr fontId="1" type="noConversion"/>
  </si>
  <si>
    <t>E4</t>
    <phoneticPr fontId="1" type="noConversion"/>
  </si>
  <si>
    <t>F4</t>
    <phoneticPr fontId="1" type="noConversion"/>
  </si>
  <si>
    <t>G4</t>
    <phoneticPr fontId="1" type="noConversion"/>
  </si>
  <si>
    <t>A4</t>
    <phoneticPr fontId="1" type="noConversion"/>
  </si>
  <si>
    <t>B4</t>
    <phoneticPr fontId="1" type="noConversion"/>
  </si>
  <si>
    <t>C5</t>
  </si>
  <si>
    <t>D5</t>
  </si>
  <si>
    <t>E5</t>
  </si>
  <si>
    <t>F5</t>
  </si>
  <si>
    <t>G5</t>
    <phoneticPr fontId="1" type="noConversion"/>
  </si>
  <si>
    <t>A5</t>
  </si>
  <si>
    <t>B5</t>
  </si>
  <si>
    <t>C#4</t>
    <phoneticPr fontId="1" type="noConversion"/>
  </si>
  <si>
    <t>D#4</t>
    <phoneticPr fontId="1" type="noConversion"/>
  </si>
  <si>
    <t>F#4</t>
    <phoneticPr fontId="1" type="noConversion"/>
  </si>
  <si>
    <t>G#4</t>
    <phoneticPr fontId="1" type="noConversion"/>
  </si>
  <si>
    <t>A#4</t>
    <phoneticPr fontId="1" type="noConversion"/>
  </si>
  <si>
    <t>C#5</t>
  </si>
  <si>
    <t>D#5</t>
  </si>
  <si>
    <t>G#5</t>
  </si>
  <si>
    <t>A#5</t>
  </si>
  <si>
    <t>F#5</t>
    <phoneticPr fontId="1" type="noConversion"/>
  </si>
  <si>
    <t>#1</t>
    <phoneticPr fontId="1" type="noConversion"/>
  </si>
  <si>
    <t>1+</t>
    <phoneticPr fontId="1" type="noConversion"/>
  </si>
  <si>
    <t>#1+</t>
    <phoneticPr fontId="1" type="noConversion"/>
  </si>
  <si>
    <t>#2</t>
    <phoneticPr fontId="1" type="noConversion"/>
  </si>
  <si>
    <t>#4</t>
    <phoneticPr fontId="1" type="noConversion"/>
  </si>
  <si>
    <t>#5</t>
    <phoneticPr fontId="1" type="noConversion"/>
  </si>
  <si>
    <t>#6</t>
    <phoneticPr fontId="1" type="noConversion"/>
  </si>
  <si>
    <t>2+</t>
    <phoneticPr fontId="1" type="noConversion"/>
  </si>
  <si>
    <t>3+</t>
    <phoneticPr fontId="1" type="noConversion"/>
  </si>
  <si>
    <t>4+</t>
    <phoneticPr fontId="1" type="noConversion"/>
  </si>
  <si>
    <t>5+</t>
    <phoneticPr fontId="1" type="noConversion"/>
  </si>
  <si>
    <t>6+</t>
    <phoneticPr fontId="1" type="noConversion"/>
  </si>
  <si>
    <t>7+</t>
    <phoneticPr fontId="1" type="noConversion"/>
  </si>
  <si>
    <t>#2+</t>
    <phoneticPr fontId="1" type="noConversion"/>
  </si>
  <si>
    <t>#4+</t>
    <phoneticPr fontId="1" type="noConversion"/>
  </si>
  <si>
    <t>#5+</t>
    <phoneticPr fontId="1" type="noConversion"/>
  </si>
  <si>
    <t>#6+</t>
    <phoneticPr fontId="1" type="noConversion"/>
  </si>
  <si>
    <t>fnote</t>
    <phoneticPr fontId="1" type="noConversion"/>
  </si>
  <si>
    <t>ARR</t>
    <phoneticPr fontId="1" type="noConversion"/>
  </si>
  <si>
    <t>CCR</t>
    <phoneticPr fontId="1" type="noConversion"/>
  </si>
  <si>
    <t>PSC</t>
    <phoneticPr fontId="1" type="noConversion"/>
  </si>
  <si>
    <t>fpwm</t>
    <phoneticPr fontId="1" type="noConversion"/>
  </si>
  <si>
    <t>cARR</t>
    <phoneticPr fontId="1" type="noConversion"/>
  </si>
  <si>
    <t>cCCR</t>
    <phoneticPr fontId="1" type="noConversion"/>
  </si>
  <si>
    <t>efpwm%</t>
    <phoneticPr fontId="1" type="noConversion"/>
  </si>
  <si>
    <t>cduty%</t>
    <phoneticPr fontId="1" type="noConversion"/>
  </si>
  <si>
    <t>duty%</t>
    <phoneticPr fontId="1" type="noConversion"/>
  </si>
  <si>
    <t>ecduty%</t>
    <phoneticPr fontId="1" type="noConversion"/>
  </si>
  <si>
    <t>max</t>
    <phoneticPr fontId="1" type="noConversion"/>
  </si>
  <si>
    <t>times</t>
    <phoneticPr fontId="1" type="noConversion"/>
  </si>
  <si>
    <t>e%</t>
    <phoneticPr fontId="1" type="noConversion"/>
  </si>
  <si>
    <t>round t</t>
    <phoneticPr fontId="1" type="noConversion"/>
  </si>
  <si>
    <t>round s2</t>
    <phoneticPr fontId="1" type="noConversion"/>
  </si>
  <si>
    <t>setp1</t>
    <phoneticPr fontId="1" type="noConversion"/>
  </si>
  <si>
    <t>round s1</t>
    <phoneticPr fontId="1" type="noConversion"/>
  </si>
  <si>
    <t>setp2</t>
    <phoneticPr fontId="1" type="noConversion"/>
  </si>
  <si>
    <t>customize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</si>
</sst>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7110A-A18D-449B-84C9-04B71D78183D}">
  <dimension ref="A1:R26"/>
  <sheetViews>
    <sheetView workbookViewId="0">
      <selection activeCell="N13" sqref="N13"/>
    </sheetView>
  </sheetViews>
  <sheetFormatPr defaultRowHeight="14" x14ac:dyDescent="0.3"/>
  <cols>
    <col min="2" max="2" width="9.1640625" bestFit="1" customWidth="1"/>
    <col min="7" max="7" width="9.1640625" bestFit="1" customWidth="1"/>
  </cols>
  <sheetData>
    <row r="1" spans="1:18" x14ac:dyDescent="0.3">
      <c r="A1" s="2" t="s">
        <v>0</v>
      </c>
      <c r="B1" s="2">
        <v>72000000</v>
      </c>
    </row>
    <row r="2" spans="1:18" x14ac:dyDescent="0.3">
      <c r="C2" t="s">
        <v>42</v>
      </c>
      <c r="D2" t="s">
        <v>51</v>
      </c>
      <c r="E2" t="s">
        <v>45</v>
      </c>
      <c r="F2" t="s">
        <v>47</v>
      </c>
      <c r="G2" t="s">
        <v>43</v>
      </c>
      <c r="H2" t="s">
        <v>48</v>
      </c>
      <c r="I2" t="s">
        <v>44</v>
      </c>
      <c r="J2" t="s">
        <v>46</v>
      </c>
      <c r="K2" t="s">
        <v>49</v>
      </c>
      <c r="L2" t="s">
        <v>50</v>
      </c>
      <c r="M2" t="s">
        <v>52</v>
      </c>
      <c r="Q2" t="s">
        <v>43</v>
      </c>
      <c r="R2" t="s">
        <v>44</v>
      </c>
    </row>
    <row r="3" spans="1:18" x14ac:dyDescent="0.3">
      <c r="A3" s="1" t="s">
        <v>1</v>
      </c>
      <c r="B3" s="1">
        <v>1</v>
      </c>
      <c r="C3" s="3">
        <v>261.63</v>
      </c>
      <c r="D3">
        <v>50</v>
      </c>
      <c r="E3">
        <v>7</v>
      </c>
      <c r="F3">
        <f t="shared" ref="F3:F26" si="0">$B$1/($C3*($E3+1))-1</f>
        <v>34398.724802201585</v>
      </c>
      <c r="G3">
        <f t="shared" ref="G3:G26" si="1">ROUND($F3,0)</f>
        <v>34399</v>
      </c>
      <c r="H3">
        <f>$D3/100*($G3+1)</f>
        <v>17200</v>
      </c>
      <c r="I3">
        <f>ROUND($H3,0)</f>
        <v>17200</v>
      </c>
      <c r="J3">
        <f t="shared" ref="J3:J26" si="2">$B$1/(($E3+1)*($G3+1))</f>
        <v>261.62790697674421</v>
      </c>
      <c r="K3">
        <f t="shared" ref="K3:K26" si="3">($J3/$C3-1)*100</f>
        <v>-7.9999360004245901E-4</v>
      </c>
      <c r="L3">
        <f>$I3/($G3+1)*100</f>
        <v>50</v>
      </c>
      <c r="M3">
        <f>($L3/$D3-1)*100</f>
        <v>0</v>
      </c>
      <c r="P3" s="1" t="s">
        <v>1</v>
      </c>
      <c r="Q3">
        <v>34399</v>
      </c>
      <c r="R3">
        <v>17200</v>
      </c>
    </row>
    <row r="4" spans="1:18" x14ac:dyDescent="0.3">
      <c r="A4" s="1" t="s">
        <v>15</v>
      </c>
      <c r="B4" s="1" t="s">
        <v>25</v>
      </c>
      <c r="C4" s="3">
        <v>277.18</v>
      </c>
      <c r="D4">
        <v>50</v>
      </c>
      <c r="E4">
        <v>7</v>
      </c>
      <c r="F4">
        <f t="shared" si="0"/>
        <v>32468.875171368785</v>
      </c>
      <c r="G4">
        <f t="shared" si="1"/>
        <v>32469</v>
      </c>
      <c r="H4">
        <f t="shared" ref="H4:H26" si="4">$D4/100*($G4+1)</f>
        <v>16235</v>
      </c>
      <c r="I4">
        <f t="shared" ref="I4:I26" si="5">ROUND($H4,0)</f>
        <v>16235</v>
      </c>
      <c r="J4">
        <f t="shared" si="2"/>
        <v>277.1789344009855</v>
      </c>
      <c r="K4">
        <f t="shared" si="3"/>
        <v>-3.8444296648343368E-4</v>
      </c>
      <c r="L4">
        <f t="shared" ref="L4:L26" si="6">$I4/($G4+1)*100</f>
        <v>50</v>
      </c>
      <c r="M4">
        <f t="shared" ref="M4:M26" si="7">($L4/$D4-1)*100</f>
        <v>0</v>
      </c>
      <c r="P4" s="1" t="s">
        <v>15</v>
      </c>
      <c r="Q4">
        <v>32469</v>
      </c>
      <c r="R4">
        <v>16235</v>
      </c>
    </row>
    <row r="5" spans="1:18" x14ac:dyDescent="0.3">
      <c r="A5" s="1" t="s">
        <v>2</v>
      </c>
      <c r="B5" s="1">
        <v>2</v>
      </c>
      <c r="C5" s="3">
        <v>293.66000000000003</v>
      </c>
      <c r="D5">
        <v>50</v>
      </c>
      <c r="E5">
        <v>7</v>
      </c>
      <c r="F5">
        <f t="shared" si="0"/>
        <v>30646.687802220251</v>
      </c>
      <c r="G5">
        <f t="shared" si="1"/>
        <v>30647</v>
      </c>
      <c r="H5">
        <f t="shared" si="4"/>
        <v>15324</v>
      </c>
      <c r="I5">
        <f t="shared" si="5"/>
        <v>15324</v>
      </c>
      <c r="J5">
        <f t="shared" si="2"/>
        <v>293.6570086139389</v>
      </c>
      <c r="K5">
        <f t="shared" si="3"/>
        <v>-1.0186562899749951E-3</v>
      </c>
      <c r="L5">
        <f t="shared" si="6"/>
        <v>50</v>
      </c>
      <c r="M5">
        <f t="shared" si="7"/>
        <v>0</v>
      </c>
      <c r="P5" s="1" t="s">
        <v>2</v>
      </c>
      <c r="Q5">
        <v>30647</v>
      </c>
      <c r="R5">
        <v>15324</v>
      </c>
    </row>
    <row r="6" spans="1:18" x14ac:dyDescent="0.3">
      <c r="A6" s="1" t="s">
        <v>16</v>
      </c>
      <c r="B6" s="1" t="s">
        <v>28</v>
      </c>
      <c r="C6" s="3">
        <v>311.13</v>
      </c>
      <c r="D6">
        <v>50</v>
      </c>
      <c r="E6">
        <v>7</v>
      </c>
      <c r="F6">
        <f t="shared" si="0"/>
        <v>28925.815157651145</v>
      </c>
      <c r="G6">
        <f t="shared" si="1"/>
        <v>28926</v>
      </c>
      <c r="H6">
        <f t="shared" si="4"/>
        <v>14463.5</v>
      </c>
      <c r="I6">
        <f t="shared" si="5"/>
        <v>14464</v>
      </c>
      <c r="J6">
        <f t="shared" si="2"/>
        <v>311.128011892004</v>
      </c>
      <c r="K6">
        <f t="shared" si="3"/>
        <v>-6.3899591682403667E-4</v>
      </c>
      <c r="L6">
        <f t="shared" si="6"/>
        <v>50.001728488954953</v>
      </c>
      <c r="M6">
        <f t="shared" si="7"/>
        <v>3.456977909910286E-3</v>
      </c>
      <c r="P6" s="1" t="s">
        <v>16</v>
      </c>
      <c r="Q6">
        <v>28926</v>
      </c>
      <c r="R6">
        <v>14464</v>
      </c>
    </row>
    <row r="7" spans="1:18" x14ac:dyDescent="0.3">
      <c r="A7" s="1" t="s">
        <v>3</v>
      </c>
      <c r="B7" s="1">
        <v>3</v>
      </c>
      <c r="C7" s="3">
        <v>329.63</v>
      </c>
      <c r="D7">
        <v>50</v>
      </c>
      <c r="E7">
        <v>7</v>
      </c>
      <c r="F7">
        <f t="shared" si="0"/>
        <v>27302.340108606619</v>
      </c>
      <c r="G7">
        <f t="shared" si="1"/>
        <v>27302</v>
      </c>
      <c r="H7">
        <f t="shared" si="4"/>
        <v>13651.5</v>
      </c>
      <c r="I7">
        <f t="shared" si="5"/>
        <v>13652</v>
      </c>
      <c r="J7">
        <f t="shared" si="2"/>
        <v>329.63410614218219</v>
      </c>
      <c r="K7">
        <f t="shared" si="3"/>
        <v>1.2456821837147913E-3</v>
      </c>
      <c r="L7">
        <f t="shared" si="6"/>
        <v>50.001831300589686</v>
      </c>
      <c r="M7">
        <f t="shared" si="7"/>
        <v>3.6626011793661206E-3</v>
      </c>
      <c r="P7" s="1" t="s">
        <v>3</v>
      </c>
      <c r="Q7">
        <v>27302</v>
      </c>
      <c r="R7">
        <v>13652</v>
      </c>
    </row>
    <row r="8" spans="1:18" x14ac:dyDescent="0.3">
      <c r="A8" s="1" t="s">
        <v>4</v>
      </c>
      <c r="B8" s="1">
        <v>4</v>
      </c>
      <c r="C8" s="3">
        <v>349.23</v>
      </c>
      <c r="D8">
        <v>50</v>
      </c>
      <c r="E8">
        <v>7</v>
      </c>
      <c r="F8">
        <f t="shared" si="0"/>
        <v>25769.981874409415</v>
      </c>
      <c r="G8">
        <f t="shared" si="1"/>
        <v>25770</v>
      </c>
      <c r="H8">
        <f t="shared" si="4"/>
        <v>12885.5</v>
      </c>
      <c r="I8">
        <f t="shared" si="5"/>
        <v>12886</v>
      </c>
      <c r="J8">
        <f t="shared" si="2"/>
        <v>349.22975437507273</v>
      </c>
      <c r="K8">
        <f t="shared" si="3"/>
        <v>-7.0333283874735031E-5</v>
      </c>
      <c r="L8">
        <f t="shared" si="6"/>
        <v>50.001940165302081</v>
      </c>
      <c r="M8">
        <f t="shared" si="7"/>
        <v>3.8803306041668151E-3</v>
      </c>
      <c r="P8" s="1" t="s">
        <v>4</v>
      </c>
      <c r="Q8">
        <v>25770</v>
      </c>
      <c r="R8">
        <v>12886</v>
      </c>
    </row>
    <row r="9" spans="1:18" x14ac:dyDescent="0.3">
      <c r="A9" s="1" t="s">
        <v>17</v>
      </c>
      <c r="B9" s="1" t="s">
        <v>29</v>
      </c>
      <c r="C9" s="3">
        <v>369.99</v>
      </c>
      <c r="D9">
        <v>50</v>
      </c>
      <c r="E9">
        <v>7</v>
      </c>
      <c r="F9">
        <f t="shared" si="0"/>
        <v>24323.981756263682</v>
      </c>
      <c r="G9">
        <f t="shared" si="1"/>
        <v>24324</v>
      </c>
      <c r="H9">
        <f t="shared" si="4"/>
        <v>12162.5</v>
      </c>
      <c r="I9">
        <f t="shared" si="5"/>
        <v>12163</v>
      </c>
      <c r="J9">
        <f t="shared" si="2"/>
        <v>369.98972250770811</v>
      </c>
      <c r="K9">
        <f t="shared" si="3"/>
        <v>-7.499994375548269E-5</v>
      </c>
      <c r="L9">
        <f t="shared" si="6"/>
        <v>50.002055498458375</v>
      </c>
      <c r="M9">
        <f t="shared" si="7"/>
        <v>4.1109969167507643E-3</v>
      </c>
      <c r="P9" s="1" t="s">
        <v>17</v>
      </c>
      <c r="Q9">
        <v>24324</v>
      </c>
      <c r="R9">
        <v>12163</v>
      </c>
    </row>
    <row r="10" spans="1:18" x14ac:dyDescent="0.3">
      <c r="A10" s="1" t="s">
        <v>5</v>
      </c>
      <c r="B10" s="1">
        <v>5</v>
      </c>
      <c r="C10" s="3">
        <v>392</v>
      </c>
      <c r="D10">
        <v>50</v>
      </c>
      <c r="E10">
        <v>7</v>
      </c>
      <c r="F10">
        <f t="shared" si="0"/>
        <v>22958.183673469386</v>
      </c>
      <c r="G10">
        <f t="shared" si="1"/>
        <v>22958</v>
      </c>
      <c r="H10">
        <f t="shared" si="4"/>
        <v>11479.5</v>
      </c>
      <c r="I10">
        <f t="shared" si="5"/>
        <v>11480</v>
      </c>
      <c r="J10">
        <f t="shared" si="2"/>
        <v>392.00313602508822</v>
      </c>
      <c r="K10">
        <f t="shared" si="3"/>
        <v>8.0000640005906121E-4</v>
      </c>
      <c r="L10">
        <f t="shared" si="6"/>
        <v>50.00217779520014</v>
      </c>
      <c r="M10">
        <f t="shared" si="7"/>
        <v>4.355590400284548E-3</v>
      </c>
      <c r="P10" s="1" t="s">
        <v>5</v>
      </c>
      <c r="Q10">
        <v>22958</v>
      </c>
      <c r="R10">
        <v>11480</v>
      </c>
    </row>
    <row r="11" spans="1:18" x14ac:dyDescent="0.3">
      <c r="A11" s="1" t="s">
        <v>18</v>
      </c>
      <c r="B11" s="1" t="s">
        <v>30</v>
      </c>
      <c r="C11" s="3">
        <v>415.3</v>
      </c>
      <c r="D11">
        <v>50</v>
      </c>
      <c r="E11">
        <v>7</v>
      </c>
      <c r="F11">
        <f t="shared" si="0"/>
        <v>21670.081146159402</v>
      </c>
      <c r="G11">
        <f t="shared" si="1"/>
        <v>21670</v>
      </c>
      <c r="H11">
        <f t="shared" si="4"/>
        <v>10835.5</v>
      </c>
      <c r="I11">
        <f t="shared" si="5"/>
        <v>10836</v>
      </c>
      <c r="J11">
        <f t="shared" si="2"/>
        <v>415.30155507360064</v>
      </c>
      <c r="K11">
        <f t="shared" si="3"/>
        <v>3.7444584652934765E-4</v>
      </c>
      <c r="L11">
        <f t="shared" si="6"/>
        <v>50.002307230861518</v>
      </c>
      <c r="M11">
        <f t="shared" si="7"/>
        <v>4.6144617230403639E-3</v>
      </c>
      <c r="P11" s="1" t="s">
        <v>18</v>
      </c>
      <c r="Q11">
        <v>21670</v>
      </c>
      <c r="R11">
        <v>10836</v>
      </c>
    </row>
    <row r="12" spans="1:18" x14ac:dyDescent="0.3">
      <c r="A12" s="1" t="s">
        <v>6</v>
      </c>
      <c r="B12" s="1">
        <v>6</v>
      </c>
      <c r="C12" s="3">
        <v>440</v>
      </c>
      <c r="D12">
        <v>50</v>
      </c>
      <c r="E12">
        <v>7</v>
      </c>
      <c r="F12">
        <f t="shared" si="0"/>
        <v>20453.545454545456</v>
      </c>
      <c r="G12">
        <f t="shared" si="1"/>
        <v>20454</v>
      </c>
      <c r="H12">
        <f t="shared" si="4"/>
        <v>10227.5</v>
      </c>
      <c r="I12">
        <f t="shared" si="5"/>
        <v>10228</v>
      </c>
      <c r="J12">
        <f t="shared" si="2"/>
        <v>439.99022243950134</v>
      </c>
      <c r="K12">
        <f t="shared" si="3"/>
        <v>-2.2221728406046637E-3</v>
      </c>
      <c r="L12">
        <f t="shared" si="6"/>
        <v>50.002444390124666</v>
      </c>
      <c r="M12">
        <f t="shared" si="7"/>
        <v>4.888780249334701E-3</v>
      </c>
      <c r="P12" s="1" t="s">
        <v>6</v>
      </c>
      <c r="Q12">
        <v>20454</v>
      </c>
      <c r="R12">
        <v>10228</v>
      </c>
    </row>
    <row r="13" spans="1:18" x14ac:dyDescent="0.3">
      <c r="A13" s="1" t="s">
        <v>19</v>
      </c>
      <c r="B13" s="1" t="s">
        <v>31</v>
      </c>
      <c r="C13" s="3">
        <v>466.16</v>
      </c>
      <c r="D13">
        <v>50</v>
      </c>
      <c r="E13">
        <v>7</v>
      </c>
      <c r="F13">
        <f t="shared" si="0"/>
        <v>19305.675819461128</v>
      </c>
      <c r="G13">
        <f t="shared" si="1"/>
        <v>19306</v>
      </c>
      <c r="H13">
        <f t="shared" si="4"/>
        <v>9653.5</v>
      </c>
      <c r="I13">
        <f t="shared" si="5"/>
        <v>9654</v>
      </c>
      <c r="J13">
        <f t="shared" si="2"/>
        <v>466.15217278707206</v>
      </c>
      <c r="K13">
        <f t="shared" si="3"/>
        <v>-1.6790829174495592E-3</v>
      </c>
      <c r="L13">
        <f t="shared" si="6"/>
        <v>50.002589734293259</v>
      </c>
      <c r="M13">
        <f t="shared" si="7"/>
        <v>5.1794685865136358E-3</v>
      </c>
      <c r="P13" s="1" t="s">
        <v>19</v>
      </c>
      <c r="Q13">
        <v>19306</v>
      </c>
      <c r="R13">
        <v>9654</v>
      </c>
    </row>
    <row r="14" spans="1:18" x14ac:dyDescent="0.3">
      <c r="A14" s="1" t="s">
        <v>7</v>
      </c>
      <c r="B14" s="1">
        <v>7</v>
      </c>
      <c r="C14" s="3">
        <v>493.88</v>
      </c>
      <c r="D14">
        <v>50</v>
      </c>
      <c r="E14">
        <v>7</v>
      </c>
      <c r="F14">
        <f t="shared" si="0"/>
        <v>18222.050133635701</v>
      </c>
      <c r="G14">
        <f t="shared" si="1"/>
        <v>18222</v>
      </c>
      <c r="H14">
        <f t="shared" si="4"/>
        <v>9111.5</v>
      </c>
      <c r="I14">
        <f t="shared" si="5"/>
        <v>9112</v>
      </c>
      <c r="J14">
        <f t="shared" si="2"/>
        <v>493.88135872249353</v>
      </c>
      <c r="K14">
        <f t="shared" si="3"/>
        <v>2.7511186797557485E-4</v>
      </c>
      <c r="L14">
        <f t="shared" si="6"/>
        <v>50.002743785326231</v>
      </c>
      <c r="M14">
        <f t="shared" si="7"/>
        <v>5.4875706524626366E-3</v>
      </c>
      <c r="P14" s="1" t="s">
        <v>7</v>
      </c>
      <c r="Q14">
        <v>18222</v>
      </c>
      <c r="R14">
        <v>9112</v>
      </c>
    </row>
    <row r="15" spans="1:18" x14ac:dyDescent="0.3">
      <c r="A15" s="1" t="s">
        <v>8</v>
      </c>
      <c r="B15" s="1" t="s">
        <v>26</v>
      </c>
      <c r="C15" s="3">
        <v>523.25</v>
      </c>
      <c r="D15">
        <v>50</v>
      </c>
      <c r="E15">
        <v>7</v>
      </c>
      <c r="F15">
        <f t="shared" si="0"/>
        <v>17199.191113234592</v>
      </c>
      <c r="G15">
        <f t="shared" si="1"/>
        <v>17199</v>
      </c>
      <c r="H15">
        <f t="shared" si="4"/>
        <v>8600</v>
      </c>
      <c r="I15">
        <f t="shared" si="5"/>
        <v>8600</v>
      </c>
      <c r="J15">
        <f t="shared" si="2"/>
        <v>523.25581395348843</v>
      </c>
      <c r="K15">
        <f t="shared" si="3"/>
        <v>1.1111234569316508E-3</v>
      </c>
      <c r="L15">
        <f t="shared" si="6"/>
        <v>50</v>
      </c>
      <c r="M15">
        <f t="shared" si="7"/>
        <v>0</v>
      </c>
      <c r="P15" s="1" t="s">
        <v>8</v>
      </c>
      <c r="Q15">
        <v>17199</v>
      </c>
      <c r="R15">
        <v>8600</v>
      </c>
    </row>
    <row r="16" spans="1:18" x14ac:dyDescent="0.3">
      <c r="A16" s="1" t="s">
        <v>20</v>
      </c>
      <c r="B16" s="1" t="s">
        <v>27</v>
      </c>
      <c r="C16" s="3">
        <v>554.37</v>
      </c>
      <c r="D16">
        <v>50</v>
      </c>
      <c r="E16">
        <v>7</v>
      </c>
      <c r="F16">
        <f t="shared" si="0"/>
        <v>16233.644731857785</v>
      </c>
      <c r="G16">
        <f t="shared" si="1"/>
        <v>16234</v>
      </c>
      <c r="H16">
        <f t="shared" si="4"/>
        <v>8117.5</v>
      </c>
      <c r="I16">
        <f t="shared" si="5"/>
        <v>8118</v>
      </c>
      <c r="J16">
        <f t="shared" si="2"/>
        <v>554.35786880197099</v>
      </c>
      <c r="K16">
        <f t="shared" si="3"/>
        <v>-2.1882854463695089E-3</v>
      </c>
      <c r="L16">
        <f t="shared" si="6"/>
        <v>50.003079765937784</v>
      </c>
      <c r="M16">
        <f t="shared" si="7"/>
        <v>6.159531875571389E-3</v>
      </c>
      <c r="P16" s="1" t="s">
        <v>20</v>
      </c>
      <c r="Q16">
        <v>16234</v>
      </c>
      <c r="R16">
        <v>8118</v>
      </c>
    </row>
    <row r="17" spans="1:18" x14ac:dyDescent="0.3">
      <c r="A17" s="1" t="s">
        <v>9</v>
      </c>
      <c r="B17" s="1" t="s">
        <v>32</v>
      </c>
      <c r="C17" s="3">
        <v>587.33000000000004</v>
      </c>
      <c r="D17">
        <v>50</v>
      </c>
      <c r="E17">
        <v>7</v>
      </c>
      <c r="F17">
        <f t="shared" si="0"/>
        <v>15322.582994228116</v>
      </c>
      <c r="G17">
        <f t="shared" si="1"/>
        <v>15323</v>
      </c>
      <c r="H17">
        <f t="shared" si="4"/>
        <v>7662</v>
      </c>
      <c r="I17">
        <f t="shared" si="5"/>
        <v>7662</v>
      </c>
      <c r="J17">
        <f t="shared" si="2"/>
        <v>587.3140172278778</v>
      </c>
      <c r="K17">
        <f t="shared" si="3"/>
        <v>-2.721259278815058E-3</v>
      </c>
      <c r="L17">
        <f t="shared" si="6"/>
        <v>50</v>
      </c>
      <c r="M17">
        <f t="shared" si="7"/>
        <v>0</v>
      </c>
      <c r="P17" s="1" t="s">
        <v>9</v>
      </c>
      <c r="Q17">
        <v>15323</v>
      </c>
      <c r="R17">
        <v>7662</v>
      </c>
    </row>
    <row r="18" spans="1:18" x14ac:dyDescent="0.3">
      <c r="A18" s="1" t="s">
        <v>21</v>
      </c>
      <c r="B18" s="1" t="s">
        <v>38</v>
      </c>
      <c r="C18" s="3">
        <v>622.25</v>
      </c>
      <c r="D18">
        <v>50</v>
      </c>
      <c r="E18">
        <v>7</v>
      </c>
      <c r="F18">
        <f t="shared" si="0"/>
        <v>14462.640016070711</v>
      </c>
      <c r="G18">
        <f t="shared" si="1"/>
        <v>14463</v>
      </c>
      <c r="H18">
        <f t="shared" si="4"/>
        <v>7232</v>
      </c>
      <c r="I18">
        <f t="shared" si="5"/>
        <v>7232</v>
      </c>
      <c r="J18">
        <f t="shared" si="2"/>
        <v>622.23451327433634</v>
      </c>
      <c r="K18">
        <f t="shared" si="3"/>
        <v>-2.4888269447465028E-3</v>
      </c>
      <c r="L18">
        <f t="shared" si="6"/>
        <v>50</v>
      </c>
      <c r="M18">
        <f t="shared" si="7"/>
        <v>0</v>
      </c>
      <c r="P18" s="1" t="s">
        <v>21</v>
      </c>
      <c r="Q18">
        <v>14463</v>
      </c>
      <c r="R18">
        <v>7232</v>
      </c>
    </row>
    <row r="19" spans="1:18" x14ac:dyDescent="0.3">
      <c r="A19" s="1" t="s">
        <v>10</v>
      </c>
      <c r="B19" s="1" t="s">
        <v>33</v>
      </c>
      <c r="C19" s="3">
        <v>659.23</v>
      </c>
      <c r="D19">
        <v>50</v>
      </c>
      <c r="E19">
        <v>7</v>
      </c>
      <c r="F19">
        <f t="shared" si="0"/>
        <v>13651.291309558121</v>
      </c>
      <c r="G19">
        <f t="shared" si="1"/>
        <v>13651</v>
      </c>
      <c r="H19">
        <f t="shared" si="4"/>
        <v>6826</v>
      </c>
      <c r="I19">
        <f t="shared" si="5"/>
        <v>6826</v>
      </c>
      <c r="J19">
        <f t="shared" si="2"/>
        <v>659.24406680339882</v>
      </c>
      <c r="K19">
        <f t="shared" si="3"/>
        <v>2.1338233088252778E-3</v>
      </c>
      <c r="L19">
        <f t="shared" si="6"/>
        <v>50</v>
      </c>
      <c r="M19">
        <f t="shared" si="7"/>
        <v>0</v>
      </c>
      <c r="P19" s="1" t="s">
        <v>10</v>
      </c>
      <c r="Q19">
        <v>13651</v>
      </c>
      <c r="R19">
        <v>6826</v>
      </c>
    </row>
    <row r="20" spans="1:18" x14ac:dyDescent="0.3">
      <c r="A20" s="1" t="s">
        <v>11</v>
      </c>
      <c r="B20" s="1" t="s">
        <v>34</v>
      </c>
      <c r="C20" s="3">
        <v>698.46</v>
      </c>
      <c r="D20">
        <v>50</v>
      </c>
      <c r="E20">
        <v>7</v>
      </c>
      <c r="F20">
        <f t="shared" si="0"/>
        <v>12884.490937204708</v>
      </c>
      <c r="G20">
        <f t="shared" si="1"/>
        <v>12884</v>
      </c>
      <c r="H20">
        <f t="shared" si="4"/>
        <v>6442.5</v>
      </c>
      <c r="I20">
        <f t="shared" si="5"/>
        <v>6443</v>
      </c>
      <c r="J20">
        <f t="shared" si="2"/>
        <v>698.48661233993016</v>
      </c>
      <c r="K20">
        <f t="shared" si="3"/>
        <v>3.8101451665273345E-3</v>
      </c>
      <c r="L20">
        <f t="shared" si="6"/>
        <v>50.003880481179664</v>
      </c>
      <c r="M20">
        <f t="shared" si="7"/>
        <v>7.7609623593266619E-3</v>
      </c>
      <c r="P20" s="1" t="s">
        <v>11</v>
      </c>
      <c r="Q20">
        <v>12884</v>
      </c>
      <c r="R20">
        <v>6443</v>
      </c>
    </row>
    <row r="21" spans="1:18" x14ac:dyDescent="0.3">
      <c r="A21" s="1" t="s">
        <v>24</v>
      </c>
      <c r="B21" s="1" t="s">
        <v>39</v>
      </c>
      <c r="C21" s="3">
        <v>739.99</v>
      </c>
      <c r="D21">
        <v>50</v>
      </c>
      <c r="E21">
        <v>7</v>
      </c>
      <c r="F21">
        <f t="shared" si="0"/>
        <v>12161.326517925918</v>
      </c>
      <c r="G21">
        <f t="shared" si="1"/>
        <v>12161</v>
      </c>
      <c r="H21">
        <f t="shared" si="4"/>
        <v>6081</v>
      </c>
      <c r="I21">
        <f t="shared" si="5"/>
        <v>6081</v>
      </c>
      <c r="J21">
        <f t="shared" si="2"/>
        <v>740.00986679822392</v>
      </c>
      <c r="K21">
        <f t="shared" si="3"/>
        <v>2.684738742941839E-3</v>
      </c>
      <c r="L21">
        <f t="shared" si="6"/>
        <v>50</v>
      </c>
      <c r="M21">
        <f t="shared" si="7"/>
        <v>0</v>
      </c>
      <c r="P21" s="1" t="s">
        <v>24</v>
      </c>
      <c r="Q21">
        <v>12161</v>
      </c>
      <c r="R21">
        <v>6081</v>
      </c>
    </row>
    <row r="22" spans="1:18" x14ac:dyDescent="0.3">
      <c r="A22" s="1" t="s">
        <v>12</v>
      </c>
      <c r="B22" s="1" t="s">
        <v>35</v>
      </c>
      <c r="C22" s="3">
        <v>783.99</v>
      </c>
      <c r="D22">
        <v>50</v>
      </c>
      <c r="E22">
        <v>7</v>
      </c>
      <c r="F22">
        <f t="shared" si="0"/>
        <v>11478.738261967626</v>
      </c>
      <c r="G22">
        <f t="shared" si="1"/>
        <v>11479</v>
      </c>
      <c r="H22">
        <f t="shared" si="4"/>
        <v>5740</v>
      </c>
      <c r="I22">
        <f t="shared" si="5"/>
        <v>5740</v>
      </c>
      <c r="J22">
        <f t="shared" si="2"/>
        <v>783.97212543554008</v>
      </c>
      <c r="K22">
        <f t="shared" si="3"/>
        <v>-2.2799480171808995E-3</v>
      </c>
      <c r="L22">
        <f t="shared" si="6"/>
        <v>50</v>
      </c>
      <c r="M22">
        <f t="shared" si="7"/>
        <v>0</v>
      </c>
      <c r="P22" s="1" t="s">
        <v>12</v>
      </c>
      <c r="Q22">
        <v>11479</v>
      </c>
      <c r="R22">
        <v>5740</v>
      </c>
    </row>
    <row r="23" spans="1:18" x14ac:dyDescent="0.3">
      <c r="A23" s="1" t="s">
        <v>22</v>
      </c>
      <c r="B23" s="1" t="s">
        <v>40</v>
      </c>
      <c r="C23" s="3">
        <v>830.61</v>
      </c>
      <c r="D23">
        <v>50</v>
      </c>
      <c r="E23">
        <v>7</v>
      </c>
      <c r="F23">
        <f t="shared" si="0"/>
        <v>10834.410120273053</v>
      </c>
      <c r="G23">
        <f t="shared" si="1"/>
        <v>10834</v>
      </c>
      <c r="H23">
        <f t="shared" si="4"/>
        <v>5417.5</v>
      </c>
      <c r="I23">
        <f t="shared" si="5"/>
        <v>5418</v>
      </c>
      <c r="J23">
        <f t="shared" si="2"/>
        <v>830.64143977849562</v>
      </c>
      <c r="K23">
        <f t="shared" si="3"/>
        <v>3.7851432676649921E-3</v>
      </c>
      <c r="L23">
        <f t="shared" si="6"/>
        <v>50.00461467466544</v>
      </c>
      <c r="M23">
        <f t="shared" si="7"/>
        <v>9.2293493308748253E-3</v>
      </c>
      <c r="P23" s="1" t="s">
        <v>22</v>
      </c>
      <c r="Q23">
        <v>10834</v>
      </c>
      <c r="R23">
        <v>5418</v>
      </c>
    </row>
    <row r="24" spans="1:18" x14ac:dyDescent="0.3">
      <c r="A24" s="1" t="s">
        <v>13</v>
      </c>
      <c r="B24" s="1" t="s">
        <v>36</v>
      </c>
      <c r="C24" s="3">
        <v>880</v>
      </c>
      <c r="D24">
        <v>50</v>
      </c>
      <c r="E24">
        <v>7</v>
      </c>
      <c r="F24">
        <f t="shared" si="0"/>
        <v>10226.272727272728</v>
      </c>
      <c r="G24">
        <f t="shared" si="1"/>
        <v>10226</v>
      </c>
      <c r="H24">
        <f t="shared" si="4"/>
        <v>5113.5</v>
      </c>
      <c r="I24">
        <f t="shared" si="5"/>
        <v>5114</v>
      </c>
      <c r="J24">
        <f t="shared" si="2"/>
        <v>880.02346729246108</v>
      </c>
      <c r="K24">
        <f t="shared" si="3"/>
        <v>2.6667377796663061E-3</v>
      </c>
      <c r="L24">
        <f t="shared" si="6"/>
        <v>50.004889019262734</v>
      </c>
      <c r="M24">
        <f t="shared" si="7"/>
        <v>9.7780385254653268E-3</v>
      </c>
      <c r="P24" s="1" t="s">
        <v>13</v>
      </c>
      <c r="Q24">
        <v>10226</v>
      </c>
      <c r="R24">
        <v>5114</v>
      </c>
    </row>
    <row r="25" spans="1:18" x14ac:dyDescent="0.3">
      <c r="A25" s="1" t="s">
        <v>23</v>
      </c>
      <c r="B25" s="1" t="s">
        <v>41</v>
      </c>
      <c r="C25" s="3">
        <v>932.33</v>
      </c>
      <c r="D25">
        <v>50</v>
      </c>
      <c r="E25">
        <v>7</v>
      </c>
      <c r="F25">
        <f t="shared" si="0"/>
        <v>9652.2343698046825</v>
      </c>
      <c r="G25">
        <f t="shared" si="1"/>
        <v>9652</v>
      </c>
      <c r="H25">
        <f t="shared" si="4"/>
        <v>4826.5</v>
      </c>
      <c r="I25">
        <f t="shared" si="5"/>
        <v>4827</v>
      </c>
      <c r="J25">
        <f t="shared" si="2"/>
        <v>932.35263648606656</v>
      </c>
      <c r="K25">
        <f t="shared" si="3"/>
        <v>2.4279478367583707E-3</v>
      </c>
      <c r="L25">
        <f t="shared" si="6"/>
        <v>50.005179736869366</v>
      </c>
      <c r="M25">
        <f t="shared" si="7"/>
        <v>1.0359473738730252E-2</v>
      </c>
      <c r="P25" s="1" t="s">
        <v>23</v>
      </c>
      <c r="Q25">
        <v>9652</v>
      </c>
      <c r="R25">
        <v>4827</v>
      </c>
    </row>
    <row r="26" spans="1:18" x14ac:dyDescent="0.3">
      <c r="A26" s="1" t="s">
        <v>14</v>
      </c>
      <c r="B26" s="1" t="s">
        <v>37</v>
      </c>
      <c r="C26" s="3">
        <v>987.77</v>
      </c>
      <c r="D26">
        <v>50</v>
      </c>
      <c r="E26">
        <v>7</v>
      </c>
      <c r="F26">
        <f t="shared" si="0"/>
        <v>9110.4328234305558</v>
      </c>
      <c r="G26">
        <f t="shared" si="1"/>
        <v>9110</v>
      </c>
      <c r="H26">
        <f t="shared" si="4"/>
        <v>4555.5</v>
      </c>
      <c r="I26">
        <f t="shared" si="5"/>
        <v>4556</v>
      </c>
      <c r="J26">
        <f t="shared" si="2"/>
        <v>987.81692459664146</v>
      </c>
      <c r="K26">
        <f t="shared" si="3"/>
        <v>4.7505590007324017E-3</v>
      </c>
      <c r="L26">
        <f t="shared" si="6"/>
        <v>50.005487871803311</v>
      </c>
      <c r="M26">
        <f t="shared" si="7"/>
        <v>1.0975743606622679E-2</v>
      </c>
      <c r="P26" s="1" t="s">
        <v>14</v>
      </c>
      <c r="Q26">
        <v>9110</v>
      </c>
      <c r="R26">
        <v>4556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F66B-AAAA-450E-978A-664A36B67592}">
  <dimension ref="A1:I699"/>
  <sheetViews>
    <sheetView tabSelected="1" workbookViewId="0">
      <selection activeCell="G9" sqref="G9"/>
    </sheetView>
  </sheetViews>
  <sheetFormatPr defaultRowHeight="14" x14ac:dyDescent="0.3"/>
  <sheetData>
    <row r="1" spans="1:9" x14ac:dyDescent="0.3">
      <c r="A1" t="s">
        <v>53</v>
      </c>
      <c r="B1" t="s">
        <v>58</v>
      </c>
      <c r="C1" t="s">
        <v>59</v>
      </c>
      <c r="D1" t="s">
        <v>60</v>
      </c>
      <c r="E1" t="s">
        <v>57</v>
      </c>
      <c r="F1" t="s">
        <v>54</v>
      </c>
      <c r="G1" t="s">
        <v>56</v>
      </c>
      <c r="H1" t="s">
        <v>55</v>
      </c>
    </row>
    <row r="2" spans="1:9" x14ac:dyDescent="0.3">
      <c r="A2">
        <v>1023</v>
      </c>
      <c r="B2">
        <f>$A2/8</f>
        <v>127.875</v>
      </c>
      <c r="C2">
        <f>_xlfn.FLOOR.MATH($B2)</f>
        <v>127</v>
      </c>
      <c r="D2">
        <f>($A2+7)/8</f>
        <v>128.75</v>
      </c>
      <c r="E2">
        <f>_xlfn.FLOOR.MATH($D2)</f>
        <v>128</v>
      </c>
      <c r="F2">
        <f>$A2/$E2</f>
        <v>7.9921875</v>
      </c>
      <c r="G2">
        <f>_xlfn.CEILING.MATH($F2)</f>
        <v>8</v>
      </c>
      <c r="H2">
        <f>($F2/8-1)*100</f>
        <v>-9.765625E-2</v>
      </c>
      <c r="I2" t="s">
        <v>61</v>
      </c>
    </row>
    <row r="3" spans="1:9" x14ac:dyDescent="0.3">
      <c r="A3">
        <v>0</v>
      </c>
      <c r="B3">
        <f>$A3/8</f>
        <v>0</v>
      </c>
      <c r="C3">
        <f>_xlfn.FLOOR.MATH($B3)</f>
        <v>0</v>
      </c>
      <c r="D3">
        <f>($A3+7)/8</f>
        <v>0.875</v>
      </c>
      <c r="E3">
        <f>_xlfn.FLOOR.MATH($D3)</f>
        <v>0</v>
      </c>
    </row>
    <row r="4" spans="1:9" x14ac:dyDescent="0.3">
      <c r="A4">
        <v>1</v>
      </c>
      <c r="B4">
        <f>$A4/8</f>
        <v>0.125</v>
      </c>
      <c r="C4">
        <f>_xlfn.FLOOR.MATH($B4)</f>
        <v>0</v>
      </c>
      <c r="D4">
        <f>($A4+7)/8</f>
        <v>1</v>
      </c>
      <c r="E4">
        <f>_xlfn.FLOOR.MATH($D4)</f>
        <v>1</v>
      </c>
      <c r="F4">
        <f>$A4/$E4</f>
        <v>1</v>
      </c>
      <c r="G4">
        <f>_xlfn.CEILING.MATH($F4)</f>
        <v>1</v>
      </c>
      <c r="H4">
        <f>($F4/8-1)*100</f>
        <v>-87.5</v>
      </c>
    </row>
    <row r="5" spans="1:9" x14ac:dyDescent="0.3">
      <c r="A5">
        <v>2</v>
      </c>
      <c r="B5">
        <f>$A5/8</f>
        <v>0.25</v>
      </c>
      <c r="C5">
        <f>_xlfn.FLOOR.MATH($B5)</f>
        <v>0</v>
      </c>
      <c r="D5">
        <f>($A5+7)/8</f>
        <v>1.125</v>
      </c>
      <c r="E5">
        <f>_xlfn.FLOOR.MATH($D5)</f>
        <v>1</v>
      </c>
      <c r="F5">
        <f>$A5/$E5</f>
        <v>2</v>
      </c>
      <c r="G5">
        <f>_xlfn.CEILING.MATH($F5)</f>
        <v>2</v>
      </c>
      <c r="H5">
        <f>($F5/8-1)*100</f>
        <v>-75</v>
      </c>
    </row>
    <row r="6" spans="1:9" x14ac:dyDescent="0.3">
      <c r="A6">
        <v>3</v>
      </c>
      <c r="B6">
        <f t="shared" ref="B6:B69" si="0">$A6/8</f>
        <v>0.375</v>
      </c>
      <c r="C6">
        <f t="shared" ref="C6:C69" si="1">_xlfn.FLOOR.MATH($B6)</f>
        <v>0</v>
      </c>
      <c r="D6">
        <f t="shared" ref="D6:D69" si="2">($A6+7)/8</f>
        <v>1.25</v>
      </c>
      <c r="E6">
        <f t="shared" ref="E6:E69" si="3">_xlfn.FLOOR.MATH($D6)</f>
        <v>1</v>
      </c>
      <c r="F6">
        <f t="shared" ref="F6:F69" si="4">$A6/$E6</f>
        <v>3</v>
      </c>
      <c r="G6">
        <f>_xlfn.CEILING.MATH($F6)</f>
        <v>3</v>
      </c>
      <c r="H6">
        <f t="shared" ref="H6:H69" si="5">($F6/8-1)*100</f>
        <v>-62.5</v>
      </c>
    </row>
    <row r="7" spans="1:9" x14ac:dyDescent="0.3">
      <c r="A7">
        <v>4</v>
      </c>
      <c r="B7">
        <f t="shared" si="0"/>
        <v>0.5</v>
      </c>
      <c r="C7">
        <f t="shared" si="1"/>
        <v>0</v>
      </c>
      <c r="D7">
        <f t="shared" si="2"/>
        <v>1.375</v>
      </c>
      <c r="E7">
        <f t="shared" si="3"/>
        <v>1</v>
      </c>
      <c r="F7">
        <f t="shared" si="4"/>
        <v>4</v>
      </c>
      <c r="G7">
        <f>_xlfn.CEILING.MATH($F7)</f>
        <v>4</v>
      </c>
      <c r="H7">
        <f t="shared" si="5"/>
        <v>-50</v>
      </c>
    </row>
    <row r="8" spans="1:9" x14ac:dyDescent="0.3">
      <c r="A8">
        <v>5</v>
      </c>
      <c r="B8">
        <f t="shared" si="0"/>
        <v>0.625</v>
      </c>
      <c r="C8">
        <f t="shared" si="1"/>
        <v>0</v>
      </c>
      <c r="D8">
        <f t="shared" si="2"/>
        <v>1.5</v>
      </c>
      <c r="E8">
        <f t="shared" si="3"/>
        <v>1</v>
      </c>
      <c r="F8">
        <f t="shared" si="4"/>
        <v>5</v>
      </c>
      <c r="G8">
        <f>_xlfn.CEILING.MATH($F8)</f>
        <v>5</v>
      </c>
      <c r="H8">
        <f t="shared" si="5"/>
        <v>-37.5</v>
      </c>
    </row>
    <row r="9" spans="1:9" x14ac:dyDescent="0.3">
      <c r="A9">
        <v>6</v>
      </c>
      <c r="B9">
        <f t="shared" si="0"/>
        <v>0.75</v>
      </c>
      <c r="C9">
        <f t="shared" si="1"/>
        <v>0</v>
      </c>
      <c r="D9">
        <f t="shared" si="2"/>
        <v>1.625</v>
      </c>
      <c r="E9">
        <f t="shared" si="3"/>
        <v>1</v>
      </c>
      <c r="F9">
        <f t="shared" si="4"/>
        <v>6</v>
      </c>
      <c r="G9">
        <f>_xlfn.CEILING.MATH($F9)</f>
        <v>6</v>
      </c>
      <c r="H9">
        <f t="shared" si="5"/>
        <v>-25</v>
      </c>
    </row>
    <row r="10" spans="1:9" x14ac:dyDescent="0.3">
      <c r="A10">
        <v>7</v>
      </c>
      <c r="B10">
        <f t="shared" si="0"/>
        <v>0.875</v>
      </c>
      <c r="C10">
        <f t="shared" si="1"/>
        <v>0</v>
      </c>
      <c r="D10">
        <f t="shared" si="2"/>
        <v>1.75</v>
      </c>
      <c r="E10">
        <f t="shared" si="3"/>
        <v>1</v>
      </c>
      <c r="F10">
        <f t="shared" si="4"/>
        <v>7</v>
      </c>
      <c r="G10">
        <f>_xlfn.CEILING.MATH($F10)</f>
        <v>7</v>
      </c>
      <c r="H10">
        <f t="shared" si="5"/>
        <v>-12.5</v>
      </c>
    </row>
    <row r="11" spans="1:9" x14ac:dyDescent="0.3">
      <c r="A11">
        <v>8</v>
      </c>
      <c r="B11">
        <f t="shared" si="0"/>
        <v>1</v>
      </c>
      <c r="C11">
        <f t="shared" si="1"/>
        <v>1</v>
      </c>
      <c r="D11">
        <f t="shared" si="2"/>
        <v>1.875</v>
      </c>
      <c r="E11">
        <f t="shared" si="3"/>
        <v>1</v>
      </c>
      <c r="F11">
        <f t="shared" si="4"/>
        <v>8</v>
      </c>
      <c r="G11">
        <f>_xlfn.CEILING.MATH($F11)</f>
        <v>8</v>
      </c>
      <c r="H11">
        <f t="shared" si="5"/>
        <v>0</v>
      </c>
    </row>
    <row r="12" spans="1:9" x14ac:dyDescent="0.3">
      <c r="A12">
        <v>9</v>
      </c>
      <c r="B12">
        <f t="shared" si="0"/>
        <v>1.125</v>
      </c>
      <c r="C12">
        <f t="shared" si="1"/>
        <v>1</v>
      </c>
      <c r="D12">
        <f t="shared" si="2"/>
        <v>2</v>
      </c>
      <c r="E12">
        <f t="shared" si="3"/>
        <v>2</v>
      </c>
      <c r="F12">
        <f t="shared" si="4"/>
        <v>4.5</v>
      </c>
      <c r="G12">
        <f>_xlfn.CEILING.MATH($F12)</f>
        <v>5</v>
      </c>
      <c r="H12">
        <f t="shared" si="5"/>
        <v>-43.75</v>
      </c>
    </row>
    <row r="13" spans="1:9" x14ac:dyDescent="0.3">
      <c r="A13">
        <v>10</v>
      </c>
      <c r="B13">
        <f t="shared" si="0"/>
        <v>1.25</v>
      </c>
      <c r="C13">
        <f t="shared" si="1"/>
        <v>1</v>
      </c>
      <c r="D13">
        <f t="shared" si="2"/>
        <v>2.125</v>
      </c>
      <c r="E13">
        <f t="shared" si="3"/>
        <v>2</v>
      </c>
      <c r="F13">
        <f t="shared" si="4"/>
        <v>5</v>
      </c>
      <c r="G13">
        <f>_xlfn.CEILING.MATH($F13)</f>
        <v>5</v>
      </c>
      <c r="H13">
        <f t="shared" si="5"/>
        <v>-37.5</v>
      </c>
    </row>
    <row r="14" spans="1:9" x14ac:dyDescent="0.3">
      <c r="A14">
        <v>11</v>
      </c>
      <c r="B14">
        <f t="shared" si="0"/>
        <v>1.375</v>
      </c>
      <c r="C14">
        <f t="shared" si="1"/>
        <v>1</v>
      </c>
      <c r="D14">
        <f t="shared" si="2"/>
        <v>2.25</v>
      </c>
      <c r="E14">
        <f t="shared" si="3"/>
        <v>2</v>
      </c>
      <c r="F14">
        <f t="shared" si="4"/>
        <v>5.5</v>
      </c>
      <c r="G14">
        <f>_xlfn.CEILING.MATH($F14)</f>
        <v>6</v>
      </c>
      <c r="H14">
        <f t="shared" si="5"/>
        <v>-31.25</v>
      </c>
    </row>
    <row r="15" spans="1:9" x14ac:dyDescent="0.3">
      <c r="A15">
        <v>12</v>
      </c>
      <c r="B15">
        <f t="shared" si="0"/>
        <v>1.5</v>
      </c>
      <c r="C15">
        <f t="shared" si="1"/>
        <v>1</v>
      </c>
      <c r="D15">
        <f t="shared" si="2"/>
        <v>2.375</v>
      </c>
      <c r="E15">
        <f t="shared" si="3"/>
        <v>2</v>
      </c>
      <c r="F15">
        <f t="shared" si="4"/>
        <v>6</v>
      </c>
      <c r="G15">
        <f>_xlfn.CEILING.MATH($F15)</f>
        <v>6</v>
      </c>
      <c r="H15">
        <f t="shared" si="5"/>
        <v>-25</v>
      </c>
    </row>
    <row r="16" spans="1:9" x14ac:dyDescent="0.3">
      <c r="A16">
        <v>13</v>
      </c>
      <c r="B16">
        <f t="shared" si="0"/>
        <v>1.625</v>
      </c>
      <c r="C16">
        <f t="shared" si="1"/>
        <v>1</v>
      </c>
      <c r="D16">
        <f t="shared" si="2"/>
        <v>2.5</v>
      </c>
      <c r="E16">
        <f t="shared" si="3"/>
        <v>2</v>
      </c>
      <c r="F16">
        <f t="shared" si="4"/>
        <v>6.5</v>
      </c>
      <c r="G16">
        <f>_xlfn.CEILING.MATH($F16)</f>
        <v>7</v>
      </c>
      <c r="H16">
        <f t="shared" si="5"/>
        <v>-18.75</v>
      </c>
    </row>
    <row r="17" spans="1:8" x14ac:dyDescent="0.3">
      <c r="A17">
        <v>14</v>
      </c>
      <c r="B17">
        <f t="shared" si="0"/>
        <v>1.75</v>
      </c>
      <c r="C17">
        <f t="shared" si="1"/>
        <v>1</v>
      </c>
      <c r="D17">
        <f t="shared" si="2"/>
        <v>2.625</v>
      </c>
      <c r="E17">
        <f t="shared" si="3"/>
        <v>2</v>
      </c>
      <c r="F17">
        <f t="shared" si="4"/>
        <v>7</v>
      </c>
      <c r="G17">
        <f>_xlfn.CEILING.MATH($F17)</f>
        <v>7</v>
      </c>
      <c r="H17">
        <f t="shared" si="5"/>
        <v>-12.5</v>
      </c>
    </row>
    <row r="18" spans="1:8" x14ac:dyDescent="0.3">
      <c r="A18">
        <v>15</v>
      </c>
      <c r="B18">
        <f t="shared" si="0"/>
        <v>1.875</v>
      </c>
      <c r="C18">
        <f t="shared" si="1"/>
        <v>1</v>
      </c>
      <c r="D18">
        <f t="shared" si="2"/>
        <v>2.75</v>
      </c>
      <c r="E18">
        <f t="shared" si="3"/>
        <v>2</v>
      </c>
      <c r="F18">
        <f t="shared" si="4"/>
        <v>7.5</v>
      </c>
      <c r="G18">
        <f>_xlfn.CEILING.MATH($F18)</f>
        <v>8</v>
      </c>
      <c r="H18">
        <f t="shared" si="5"/>
        <v>-6.25</v>
      </c>
    </row>
    <row r="19" spans="1:8" x14ac:dyDescent="0.3">
      <c r="A19">
        <v>16</v>
      </c>
      <c r="B19">
        <f t="shared" si="0"/>
        <v>2</v>
      </c>
      <c r="C19">
        <f t="shared" si="1"/>
        <v>2</v>
      </c>
      <c r="D19">
        <f t="shared" si="2"/>
        <v>2.875</v>
      </c>
      <c r="E19">
        <f t="shared" si="3"/>
        <v>2</v>
      </c>
      <c r="F19">
        <f t="shared" si="4"/>
        <v>8</v>
      </c>
      <c r="G19">
        <f>_xlfn.CEILING.MATH($F19)</f>
        <v>8</v>
      </c>
      <c r="H19">
        <f t="shared" si="5"/>
        <v>0</v>
      </c>
    </row>
    <row r="20" spans="1:8" x14ac:dyDescent="0.3">
      <c r="A20">
        <v>17</v>
      </c>
      <c r="B20">
        <f t="shared" si="0"/>
        <v>2.125</v>
      </c>
      <c r="C20">
        <f t="shared" si="1"/>
        <v>2</v>
      </c>
      <c r="D20">
        <f t="shared" si="2"/>
        <v>3</v>
      </c>
      <c r="E20">
        <f t="shared" si="3"/>
        <v>3</v>
      </c>
      <c r="F20">
        <f t="shared" si="4"/>
        <v>5.666666666666667</v>
      </c>
      <c r="G20">
        <f>_xlfn.CEILING.MATH($F20)</f>
        <v>6</v>
      </c>
      <c r="H20">
        <f t="shared" si="5"/>
        <v>-29.166666666666664</v>
      </c>
    </row>
    <row r="21" spans="1:8" x14ac:dyDescent="0.3">
      <c r="A21">
        <v>18</v>
      </c>
      <c r="B21">
        <f t="shared" si="0"/>
        <v>2.25</v>
      </c>
      <c r="C21">
        <f t="shared" si="1"/>
        <v>2</v>
      </c>
      <c r="D21">
        <f t="shared" si="2"/>
        <v>3.125</v>
      </c>
      <c r="E21">
        <f t="shared" si="3"/>
        <v>3</v>
      </c>
      <c r="F21">
        <f t="shared" si="4"/>
        <v>6</v>
      </c>
      <c r="G21">
        <f>_xlfn.CEILING.MATH($F21)</f>
        <v>6</v>
      </c>
      <c r="H21">
        <f t="shared" si="5"/>
        <v>-25</v>
      </c>
    </row>
    <row r="22" spans="1:8" x14ac:dyDescent="0.3">
      <c r="A22">
        <v>19</v>
      </c>
      <c r="B22">
        <f t="shared" si="0"/>
        <v>2.375</v>
      </c>
      <c r="C22">
        <f t="shared" si="1"/>
        <v>2</v>
      </c>
      <c r="D22">
        <f t="shared" si="2"/>
        <v>3.25</v>
      </c>
      <c r="E22">
        <f t="shared" si="3"/>
        <v>3</v>
      </c>
      <c r="F22">
        <f t="shared" si="4"/>
        <v>6.333333333333333</v>
      </c>
      <c r="G22">
        <f>_xlfn.CEILING.MATH($F22)</f>
        <v>7</v>
      </c>
      <c r="H22">
        <f t="shared" si="5"/>
        <v>-20.833333333333336</v>
      </c>
    </row>
    <row r="23" spans="1:8" x14ac:dyDescent="0.3">
      <c r="A23">
        <v>20</v>
      </c>
      <c r="B23">
        <f t="shared" si="0"/>
        <v>2.5</v>
      </c>
      <c r="C23">
        <f t="shared" si="1"/>
        <v>2</v>
      </c>
      <c r="D23">
        <f t="shared" si="2"/>
        <v>3.375</v>
      </c>
      <c r="E23">
        <f t="shared" si="3"/>
        <v>3</v>
      </c>
      <c r="F23">
        <f t="shared" si="4"/>
        <v>6.666666666666667</v>
      </c>
      <c r="G23">
        <f>_xlfn.CEILING.MATH($F23)</f>
        <v>7</v>
      </c>
      <c r="H23">
        <f t="shared" si="5"/>
        <v>-16.666666666666664</v>
      </c>
    </row>
    <row r="24" spans="1:8" x14ac:dyDescent="0.3">
      <c r="A24">
        <v>21</v>
      </c>
      <c r="B24">
        <f t="shared" si="0"/>
        <v>2.625</v>
      </c>
      <c r="C24">
        <f t="shared" si="1"/>
        <v>2</v>
      </c>
      <c r="D24">
        <f t="shared" si="2"/>
        <v>3.5</v>
      </c>
      <c r="E24">
        <f t="shared" si="3"/>
        <v>3</v>
      </c>
      <c r="F24">
        <f t="shared" si="4"/>
        <v>7</v>
      </c>
      <c r="G24">
        <f>_xlfn.CEILING.MATH($F24)</f>
        <v>7</v>
      </c>
      <c r="H24">
        <f t="shared" si="5"/>
        <v>-12.5</v>
      </c>
    </row>
    <row r="25" spans="1:8" x14ac:dyDescent="0.3">
      <c r="A25">
        <v>22</v>
      </c>
      <c r="B25">
        <f t="shared" si="0"/>
        <v>2.75</v>
      </c>
      <c r="C25">
        <f t="shared" si="1"/>
        <v>2</v>
      </c>
      <c r="D25">
        <f t="shared" si="2"/>
        <v>3.625</v>
      </c>
      <c r="E25">
        <f t="shared" si="3"/>
        <v>3</v>
      </c>
      <c r="F25">
        <f t="shared" si="4"/>
        <v>7.333333333333333</v>
      </c>
      <c r="G25">
        <f>_xlfn.CEILING.MATH($F25)</f>
        <v>8</v>
      </c>
      <c r="H25">
        <f t="shared" si="5"/>
        <v>-8.3333333333333375</v>
      </c>
    </row>
    <row r="26" spans="1:8" x14ac:dyDescent="0.3">
      <c r="A26">
        <v>23</v>
      </c>
      <c r="B26">
        <f t="shared" si="0"/>
        <v>2.875</v>
      </c>
      <c r="C26">
        <f t="shared" si="1"/>
        <v>2</v>
      </c>
      <c r="D26">
        <f t="shared" si="2"/>
        <v>3.75</v>
      </c>
      <c r="E26">
        <f t="shared" si="3"/>
        <v>3</v>
      </c>
      <c r="F26">
        <f t="shared" si="4"/>
        <v>7.666666666666667</v>
      </c>
      <c r="G26">
        <f>_xlfn.CEILING.MATH($F26)</f>
        <v>8</v>
      </c>
      <c r="H26">
        <f t="shared" si="5"/>
        <v>-4.1666666666666625</v>
      </c>
    </row>
    <row r="27" spans="1:8" x14ac:dyDescent="0.3">
      <c r="A27">
        <v>24</v>
      </c>
      <c r="B27">
        <f t="shared" si="0"/>
        <v>3</v>
      </c>
      <c r="C27">
        <f t="shared" si="1"/>
        <v>3</v>
      </c>
      <c r="D27">
        <f t="shared" si="2"/>
        <v>3.875</v>
      </c>
      <c r="E27">
        <f t="shared" si="3"/>
        <v>3</v>
      </c>
      <c r="F27">
        <f t="shared" si="4"/>
        <v>8</v>
      </c>
      <c r="G27">
        <f>_xlfn.CEILING.MATH($F27)</f>
        <v>8</v>
      </c>
      <c r="H27">
        <f t="shared" si="5"/>
        <v>0</v>
      </c>
    </row>
    <row r="28" spans="1:8" x14ac:dyDescent="0.3">
      <c r="A28">
        <v>25</v>
      </c>
      <c r="B28">
        <f t="shared" si="0"/>
        <v>3.125</v>
      </c>
      <c r="C28">
        <f t="shared" si="1"/>
        <v>3</v>
      </c>
      <c r="D28">
        <f t="shared" si="2"/>
        <v>4</v>
      </c>
      <c r="E28">
        <f t="shared" si="3"/>
        <v>4</v>
      </c>
      <c r="F28">
        <f t="shared" si="4"/>
        <v>6.25</v>
      </c>
      <c r="G28">
        <f>_xlfn.CEILING.MATH($F28)</f>
        <v>7</v>
      </c>
      <c r="H28">
        <f t="shared" si="5"/>
        <v>-21.875</v>
      </c>
    </row>
    <row r="29" spans="1:8" x14ac:dyDescent="0.3">
      <c r="A29">
        <v>26</v>
      </c>
      <c r="B29">
        <f t="shared" si="0"/>
        <v>3.25</v>
      </c>
      <c r="C29">
        <f t="shared" si="1"/>
        <v>3</v>
      </c>
      <c r="D29">
        <f t="shared" si="2"/>
        <v>4.125</v>
      </c>
      <c r="E29">
        <f t="shared" si="3"/>
        <v>4</v>
      </c>
      <c r="F29">
        <f t="shared" si="4"/>
        <v>6.5</v>
      </c>
      <c r="G29">
        <f>_xlfn.CEILING.MATH($F29)</f>
        <v>7</v>
      </c>
      <c r="H29">
        <f t="shared" si="5"/>
        <v>-18.75</v>
      </c>
    </row>
    <row r="30" spans="1:8" x14ac:dyDescent="0.3">
      <c r="A30">
        <v>27</v>
      </c>
      <c r="B30">
        <f t="shared" si="0"/>
        <v>3.375</v>
      </c>
      <c r="C30">
        <f t="shared" si="1"/>
        <v>3</v>
      </c>
      <c r="D30">
        <f t="shared" si="2"/>
        <v>4.25</v>
      </c>
      <c r="E30">
        <f t="shared" si="3"/>
        <v>4</v>
      </c>
      <c r="F30">
        <f t="shared" si="4"/>
        <v>6.75</v>
      </c>
      <c r="G30">
        <f>_xlfn.CEILING.MATH($F30)</f>
        <v>7</v>
      </c>
      <c r="H30">
        <f t="shared" si="5"/>
        <v>-15.625</v>
      </c>
    </row>
    <row r="31" spans="1:8" x14ac:dyDescent="0.3">
      <c r="A31">
        <v>28</v>
      </c>
      <c r="B31">
        <f t="shared" si="0"/>
        <v>3.5</v>
      </c>
      <c r="C31">
        <f t="shared" si="1"/>
        <v>3</v>
      </c>
      <c r="D31">
        <f t="shared" si="2"/>
        <v>4.375</v>
      </c>
      <c r="E31">
        <f t="shared" si="3"/>
        <v>4</v>
      </c>
      <c r="F31">
        <f t="shared" si="4"/>
        <v>7</v>
      </c>
      <c r="G31">
        <f>_xlfn.CEILING.MATH($F31)</f>
        <v>7</v>
      </c>
      <c r="H31">
        <f t="shared" si="5"/>
        <v>-12.5</v>
      </c>
    </row>
    <row r="32" spans="1:8" x14ac:dyDescent="0.3">
      <c r="A32">
        <v>29</v>
      </c>
      <c r="B32">
        <f t="shared" si="0"/>
        <v>3.625</v>
      </c>
      <c r="C32">
        <f t="shared" si="1"/>
        <v>3</v>
      </c>
      <c r="D32">
        <f t="shared" si="2"/>
        <v>4.5</v>
      </c>
      <c r="E32">
        <f t="shared" si="3"/>
        <v>4</v>
      </c>
      <c r="F32">
        <f t="shared" si="4"/>
        <v>7.25</v>
      </c>
      <c r="G32">
        <f>_xlfn.CEILING.MATH($F32)</f>
        <v>8</v>
      </c>
      <c r="H32">
        <f t="shared" si="5"/>
        <v>-9.375</v>
      </c>
    </row>
    <row r="33" spans="1:8" x14ac:dyDescent="0.3">
      <c r="A33">
        <v>30</v>
      </c>
      <c r="B33">
        <f t="shared" si="0"/>
        <v>3.75</v>
      </c>
      <c r="C33">
        <f t="shared" si="1"/>
        <v>3</v>
      </c>
      <c r="D33">
        <f t="shared" si="2"/>
        <v>4.625</v>
      </c>
      <c r="E33">
        <f t="shared" si="3"/>
        <v>4</v>
      </c>
      <c r="F33">
        <f t="shared" si="4"/>
        <v>7.5</v>
      </c>
      <c r="G33">
        <f>_xlfn.CEILING.MATH($F33)</f>
        <v>8</v>
      </c>
      <c r="H33">
        <f t="shared" si="5"/>
        <v>-6.25</v>
      </c>
    </row>
    <row r="34" spans="1:8" x14ac:dyDescent="0.3">
      <c r="A34">
        <v>31</v>
      </c>
      <c r="B34">
        <f t="shared" si="0"/>
        <v>3.875</v>
      </c>
      <c r="C34">
        <f t="shared" si="1"/>
        <v>3</v>
      </c>
      <c r="D34">
        <f t="shared" si="2"/>
        <v>4.75</v>
      </c>
      <c r="E34">
        <f t="shared" si="3"/>
        <v>4</v>
      </c>
      <c r="F34">
        <f t="shared" si="4"/>
        <v>7.75</v>
      </c>
      <c r="G34">
        <f>_xlfn.CEILING.MATH($F34)</f>
        <v>8</v>
      </c>
      <c r="H34">
        <f t="shared" si="5"/>
        <v>-3.125</v>
      </c>
    </row>
    <row r="35" spans="1:8" x14ac:dyDescent="0.3">
      <c r="A35">
        <v>32</v>
      </c>
      <c r="B35">
        <f t="shared" si="0"/>
        <v>4</v>
      </c>
      <c r="C35">
        <f t="shared" si="1"/>
        <v>4</v>
      </c>
      <c r="D35">
        <f t="shared" si="2"/>
        <v>4.875</v>
      </c>
      <c r="E35">
        <f t="shared" si="3"/>
        <v>4</v>
      </c>
      <c r="F35">
        <f t="shared" si="4"/>
        <v>8</v>
      </c>
      <c r="G35">
        <f>_xlfn.CEILING.MATH($F35)</f>
        <v>8</v>
      </c>
      <c r="H35">
        <f t="shared" si="5"/>
        <v>0</v>
      </c>
    </row>
    <row r="36" spans="1:8" x14ac:dyDescent="0.3">
      <c r="A36">
        <v>33</v>
      </c>
      <c r="B36">
        <f t="shared" si="0"/>
        <v>4.125</v>
      </c>
      <c r="C36">
        <f t="shared" si="1"/>
        <v>4</v>
      </c>
      <c r="D36">
        <f t="shared" si="2"/>
        <v>5</v>
      </c>
      <c r="E36">
        <f t="shared" si="3"/>
        <v>5</v>
      </c>
      <c r="F36">
        <f t="shared" si="4"/>
        <v>6.6</v>
      </c>
      <c r="G36">
        <f>_xlfn.CEILING.MATH($F36)</f>
        <v>7</v>
      </c>
      <c r="H36">
        <f t="shared" si="5"/>
        <v>-17.500000000000004</v>
      </c>
    </row>
    <row r="37" spans="1:8" x14ac:dyDescent="0.3">
      <c r="A37">
        <v>34</v>
      </c>
      <c r="B37">
        <f t="shared" si="0"/>
        <v>4.25</v>
      </c>
      <c r="C37">
        <f t="shared" si="1"/>
        <v>4</v>
      </c>
      <c r="D37">
        <f t="shared" si="2"/>
        <v>5.125</v>
      </c>
      <c r="E37">
        <f t="shared" si="3"/>
        <v>5</v>
      </c>
      <c r="F37">
        <f t="shared" si="4"/>
        <v>6.8</v>
      </c>
      <c r="G37">
        <f>_xlfn.CEILING.MATH($F37)</f>
        <v>7</v>
      </c>
      <c r="H37">
        <f t="shared" si="5"/>
        <v>-15.000000000000002</v>
      </c>
    </row>
    <row r="38" spans="1:8" x14ac:dyDescent="0.3">
      <c r="A38">
        <v>35</v>
      </c>
      <c r="B38">
        <f t="shared" si="0"/>
        <v>4.375</v>
      </c>
      <c r="C38">
        <f t="shared" si="1"/>
        <v>4</v>
      </c>
      <c r="D38">
        <f t="shared" si="2"/>
        <v>5.25</v>
      </c>
      <c r="E38">
        <f t="shared" si="3"/>
        <v>5</v>
      </c>
      <c r="F38">
        <f t="shared" si="4"/>
        <v>7</v>
      </c>
      <c r="G38">
        <f>_xlfn.CEILING.MATH($F38)</f>
        <v>7</v>
      </c>
      <c r="H38">
        <f t="shared" si="5"/>
        <v>-12.5</v>
      </c>
    </row>
    <row r="39" spans="1:8" x14ac:dyDescent="0.3">
      <c r="A39">
        <v>36</v>
      </c>
      <c r="B39">
        <f t="shared" si="0"/>
        <v>4.5</v>
      </c>
      <c r="C39">
        <f t="shared" si="1"/>
        <v>4</v>
      </c>
      <c r="D39">
        <f t="shared" si="2"/>
        <v>5.375</v>
      </c>
      <c r="E39">
        <f t="shared" si="3"/>
        <v>5</v>
      </c>
      <c r="F39">
        <f t="shared" si="4"/>
        <v>7.2</v>
      </c>
      <c r="G39">
        <f>_xlfn.CEILING.MATH($F39)</f>
        <v>8</v>
      </c>
      <c r="H39">
        <f t="shared" si="5"/>
        <v>-9.9999999999999982</v>
      </c>
    </row>
    <row r="40" spans="1:8" x14ac:dyDescent="0.3">
      <c r="A40">
        <v>37</v>
      </c>
      <c r="B40">
        <f t="shared" si="0"/>
        <v>4.625</v>
      </c>
      <c r="C40">
        <f t="shared" si="1"/>
        <v>4</v>
      </c>
      <c r="D40">
        <f t="shared" si="2"/>
        <v>5.5</v>
      </c>
      <c r="E40">
        <f t="shared" si="3"/>
        <v>5</v>
      </c>
      <c r="F40">
        <f t="shared" si="4"/>
        <v>7.4</v>
      </c>
      <c r="G40">
        <f>_xlfn.CEILING.MATH($F40)</f>
        <v>8</v>
      </c>
      <c r="H40">
        <f t="shared" si="5"/>
        <v>-7.4999999999999956</v>
      </c>
    </row>
    <row r="41" spans="1:8" x14ac:dyDescent="0.3">
      <c r="A41">
        <v>38</v>
      </c>
      <c r="B41">
        <f t="shared" si="0"/>
        <v>4.75</v>
      </c>
      <c r="C41">
        <f t="shared" si="1"/>
        <v>4</v>
      </c>
      <c r="D41">
        <f t="shared" si="2"/>
        <v>5.625</v>
      </c>
      <c r="E41">
        <f t="shared" si="3"/>
        <v>5</v>
      </c>
      <c r="F41">
        <f t="shared" si="4"/>
        <v>7.6</v>
      </c>
      <c r="G41">
        <f>_xlfn.CEILING.MATH($F41)</f>
        <v>8</v>
      </c>
      <c r="H41">
        <f t="shared" si="5"/>
        <v>-5.0000000000000044</v>
      </c>
    </row>
    <row r="42" spans="1:8" x14ac:dyDescent="0.3">
      <c r="A42">
        <v>39</v>
      </c>
      <c r="B42">
        <f t="shared" si="0"/>
        <v>4.875</v>
      </c>
      <c r="C42">
        <f t="shared" si="1"/>
        <v>4</v>
      </c>
      <c r="D42">
        <f t="shared" si="2"/>
        <v>5.75</v>
      </c>
      <c r="E42">
        <f t="shared" si="3"/>
        <v>5</v>
      </c>
      <c r="F42">
        <f t="shared" si="4"/>
        <v>7.8</v>
      </c>
      <c r="G42">
        <f>_xlfn.CEILING.MATH($F42)</f>
        <v>8</v>
      </c>
      <c r="H42">
        <f t="shared" si="5"/>
        <v>-2.5000000000000022</v>
      </c>
    </row>
    <row r="43" spans="1:8" x14ac:dyDescent="0.3">
      <c r="A43">
        <v>40</v>
      </c>
      <c r="B43">
        <f t="shared" si="0"/>
        <v>5</v>
      </c>
      <c r="C43">
        <f t="shared" si="1"/>
        <v>5</v>
      </c>
      <c r="D43">
        <f t="shared" si="2"/>
        <v>5.875</v>
      </c>
      <c r="E43">
        <f t="shared" si="3"/>
        <v>5</v>
      </c>
      <c r="F43">
        <f t="shared" si="4"/>
        <v>8</v>
      </c>
      <c r="G43">
        <f>_xlfn.CEILING.MATH($F43)</f>
        <v>8</v>
      </c>
      <c r="H43">
        <f t="shared" si="5"/>
        <v>0</v>
      </c>
    </row>
    <row r="44" spans="1:8" x14ac:dyDescent="0.3">
      <c r="A44">
        <v>41</v>
      </c>
      <c r="B44">
        <f t="shared" si="0"/>
        <v>5.125</v>
      </c>
      <c r="C44">
        <f t="shared" si="1"/>
        <v>5</v>
      </c>
      <c r="D44">
        <f t="shared" si="2"/>
        <v>6</v>
      </c>
      <c r="E44">
        <f t="shared" si="3"/>
        <v>6</v>
      </c>
      <c r="F44">
        <f t="shared" si="4"/>
        <v>6.833333333333333</v>
      </c>
      <c r="G44">
        <f>_xlfn.CEILING.MATH($F44)</f>
        <v>7</v>
      </c>
      <c r="H44">
        <f t="shared" si="5"/>
        <v>-14.583333333333337</v>
      </c>
    </row>
    <row r="45" spans="1:8" x14ac:dyDescent="0.3">
      <c r="A45">
        <v>42</v>
      </c>
      <c r="B45">
        <f t="shared" si="0"/>
        <v>5.25</v>
      </c>
      <c r="C45">
        <f t="shared" si="1"/>
        <v>5</v>
      </c>
      <c r="D45">
        <f t="shared" si="2"/>
        <v>6.125</v>
      </c>
      <c r="E45">
        <f t="shared" si="3"/>
        <v>6</v>
      </c>
      <c r="F45">
        <f t="shared" si="4"/>
        <v>7</v>
      </c>
      <c r="G45">
        <f>_xlfn.CEILING.MATH($F45)</f>
        <v>7</v>
      </c>
      <c r="H45">
        <f t="shared" si="5"/>
        <v>-12.5</v>
      </c>
    </row>
    <row r="46" spans="1:8" x14ac:dyDescent="0.3">
      <c r="A46">
        <v>43</v>
      </c>
      <c r="B46">
        <f t="shared" si="0"/>
        <v>5.375</v>
      </c>
      <c r="C46">
        <f t="shared" si="1"/>
        <v>5</v>
      </c>
      <c r="D46">
        <f t="shared" si="2"/>
        <v>6.25</v>
      </c>
      <c r="E46">
        <f t="shared" si="3"/>
        <v>6</v>
      </c>
      <c r="F46">
        <f t="shared" si="4"/>
        <v>7.166666666666667</v>
      </c>
      <c r="G46">
        <f>_xlfn.CEILING.MATH($F46)</f>
        <v>8</v>
      </c>
      <c r="H46">
        <f t="shared" si="5"/>
        <v>-10.416666666666663</v>
      </c>
    </row>
    <row r="47" spans="1:8" x14ac:dyDescent="0.3">
      <c r="A47">
        <v>44</v>
      </c>
      <c r="B47">
        <f t="shared" si="0"/>
        <v>5.5</v>
      </c>
      <c r="C47">
        <f t="shared" si="1"/>
        <v>5</v>
      </c>
      <c r="D47">
        <f t="shared" si="2"/>
        <v>6.375</v>
      </c>
      <c r="E47">
        <f t="shared" si="3"/>
        <v>6</v>
      </c>
      <c r="F47">
        <f t="shared" si="4"/>
        <v>7.333333333333333</v>
      </c>
      <c r="G47">
        <f>_xlfn.CEILING.MATH($F47)</f>
        <v>8</v>
      </c>
      <c r="H47">
        <f t="shared" si="5"/>
        <v>-8.3333333333333375</v>
      </c>
    </row>
    <row r="48" spans="1:8" x14ac:dyDescent="0.3">
      <c r="A48">
        <v>45</v>
      </c>
      <c r="B48">
        <f t="shared" si="0"/>
        <v>5.625</v>
      </c>
      <c r="C48">
        <f t="shared" si="1"/>
        <v>5</v>
      </c>
      <c r="D48">
        <f t="shared" si="2"/>
        <v>6.5</v>
      </c>
      <c r="E48">
        <f t="shared" si="3"/>
        <v>6</v>
      </c>
      <c r="F48">
        <f t="shared" si="4"/>
        <v>7.5</v>
      </c>
      <c r="G48">
        <f>_xlfn.CEILING.MATH($F48)</f>
        <v>8</v>
      </c>
      <c r="H48">
        <f t="shared" si="5"/>
        <v>-6.25</v>
      </c>
    </row>
    <row r="49" spans="1:8" x14ac:dyDescent="0.3">
      <c r="A49">
        <v>46</v>
      </c>
      <c r="B49">
        <f t="shared" si="0"/>
        <v>5.75</v>
      </c>
      <c r="C49">
        <f t="shared" si="1"/>
        <v>5</v>
      </c>
      <c r="D49">
        <f t="shared" si="2"/>
        <v>6.625</v>
      </c>
      <c r="E49">
        <f t="shared" si="3"/>
        <v>6</v>
      </c>
      <c r="F49">
        <f t="shared" si="4"/>
        <v>7.666666666666667</v>
      </c>
      <c r="G49">
        <f>_xlfn.CEILING.MATH($F49)</f>
        <v>8</v>
      </c>
      <c r="H49">
        <f t="shared" si="5"/>
        <v>-4.1666666666666625</v>
      </c>
    </row>
    <row r="50" spans="1:8" x14ac:dyDescent="0.3">
      <c r="A50">
        <v>47</v>
      </c>
      <c r="B50">
        <f t="shared" si="0"/>
        <v>5.875</v>
      </c>
      <c r="C50">
        <f t="shared" si="1"/>
        <v>5</v>
      </c>
      <c r="D50">
        <f t="shared" si="2"/>
        <v>6.75</v>
      </c>
      <c r="E50">
        <f t="shared" si="3"/>
        <v>6</v>
      </c>
      <c r="F50">
        <f t="shared" si="4"/>
        <v>7.833333333333333</v>
      </c>
      <c r="G50">
        <f>_xlfn.CEILING.MATH($F50)</f>
        <v>8</v>
      </c>
      <c r="H50">
        <f t="shared" si="5"/>
        <v>-2.083333333333337</v>
      </c>
    </row>
    <row r="51" spans="1:8" x14ac:dyDescent="0.3">
      <c r="A51">
        <v>48</v>
      </c>
      <c r="B51">
        <f t="shared" si="0"/>
        <v>6</v>
      </c>
      <c r="C51">
        <f t="shared" si="1"/>
        <v>6</v>
      </c>
      <c r="D51">
        <f t="shared" si="2"/>
        <v>6.875</v>
      </c>
      <c r="E51">
        <f t="shared" si="3"/>
        <v>6</v>
      </c>
      <c r="F51">
        <f t="shared" si="4"/>
        <v>8</v>
      </c>
      <c r="G51">
        <f>_xlfn.CEILING.MATH($F51)</f>
        <v>8</v>
      </c>
      <c r="H51">
        <f t="shared" si="5"/>
        <v>0</v>
      </c>
    </row>
    <row r="52" spans="1:8" x14ac:dyDescent="0.3">
      <c r="A52">
        <v>49</v>
      </c>
      <c r="B52">
        <f t="shared" si="0"/>
        <v>6.125</v>
      </c>
      <c r="C52">
        <f t="shared" si="1"/>
        <v>6</v>
      </c>
      <c r="D52">
        <f t="shared" si="2"/>
        <v>7</v>
      </c>
      <c r="E52">
        <f t="shared" si="3"/>
        <v>7</v>
      </c>
      <c r="F52">
        <f t="shared" si="4"/>
        <v>7</v>
      </c>
      <c r="G52">
        <f>_xlfn.CEILING.MATH($F52)</f>
        <v>7</v>
      </c>
      <c r="H52">
        <f t="shared" si="5"/>
        <v>-12.5</v>
      </c>
    </row>
    <row r="53" spans="1:8" x14ac:dyDescent="0.3">
      <c r="A53">
        <v>50</v>
      </c>
      <c r="B53">
        <f t="shared" si="0"/>
        <v>6.25</v>
      </c>
      <c r="C53">
        <f t="shared" si="1"/>
        <v>6</v>
      </c>
      <c r="D53">
        <f t="shared" si="2"/>
        <v>7.125</v>
      </c>
      <c r="E53">
        <f t="shared" si="3"/>
        <v>7</v>
      </c>
      <c r="F53">
        <f t="shared" si="4"/>
        <v>7.1428571428571432</v>
      </c>
      <c r="G53">
        <f>_xlfn.CEILING.MATH($F53)</f>
        <v>8</v>
      </c>
      <c r="H53">
        <f t="shared" si="5"/>
        <v>-10.71428571428571</v>
      </c>
    </row>
    <row r="54" spans="1:8" x14ac:dyDescent="0.3">
      <c r="A54">
        <v>51</v>
      </c>
      <c r="B54">
        <f t="shared" si="0"/>
        <v>6.375</v>
      </c>
      <c r="C54">
        <f t="shared" si="1"/>
        <v>6</v>
      </c>
      <c r="D54">
        <f t="shared" si="2"/>
        <v>7.25</v>
      </c>
      <c r="E54">
        <f t="shared" si="3"/>
        <v>7</v>
      </c>
      <c r="F54">
        <f t="shared" si="4"/>
        <v>7.2857142857142856</v>
      </c>
      <c r="G54">
        <f>_xlfn.CEILING.MATH($F54)</f>
        <v>8</v>
      </c>
      <c r="H54">
        <f t="shared" si="5"/>
        <v>-8.9285714285714306</v>
      </c>
    </row>
    <row r="55" spans="1:8" x14ac:dyDescent="0.3">
      <c r="A55">
        <v>52</v>
      </c>
      <c r="B55">
        <f t="shared" si="0"/>
        <v>6.5</v>
      </c>
      <c r="C55">
        <f t="shared" si="1"/>
        <v>6</v>
      </c>
      <c r="D55">
        <f t="shared" si="2"/>
        <v>7.375</v>
      </c>
      <c r="E55">
        <f t="shared" si="3"/>
        <v>7</v>
      </c>
      <c r="F55">
        <f t="shared" si="4"/>
        <v>7.4285714285714288</v>
      </c>
      <c r="G55">
        <f>_xlfn.CEILING.MATH($F55)</f>
        <v>8</v>
      </c>
      <c r="H55">
        <f t="shared" si="5"/>
        <v>-7.1428571428571397</v>
      </c>
    </row>
    <row r="56" spans="1:8" x14ac:dyDescent="0.3">
      <c r="A56">
        <v>53</v>
      </c>
      <c r="B56">
        <f t="shared" si="0"/>
        <v>6.625</v>
      </c>
      <c r="C56">
        <f t="shared" si="1"/>
        <v>6</v>
      </c>
      <c r="D56">
        <f t="shared" si="2"/>
        <v>7.5</v>
      </c>
      <c r="E56">
        <f t="shared" si="3"/>
        <v>7</v>
      </c>
      <c r="F56">
        <f t="shared" si="4"/>
        <v>7.5714285714285712</v>
      </c>
      <c r="G56">
        <f>_xlfn.CEILING.MATH($F56)</f>
        <v>8</v>
      </c>
      <c r="H56">
        <f t="shared" si="5"/>
        <v>-5.3571428571428603</v>
      </c>
    </row>
    <row r="57" spans="1:8" x14ac:dyDescent="0.3">
      <c r="A57">
        <v>54</v>
      </c>
      <c r="B57">
        <f t="shared" si="0"/>
        <v>6.75</v>
      </c>
      <c r="C57">
        <f t="shared" si="1"/>
        <v>6</v>
      </c>
      <c r="D57">
        <f t="shared" si="2"/>
        <v>7.625</v>
      </c>
      <c r="E57">
        <f t="shared" si="3"/>
        <v>7</v>
      </c>
      <c r="F57">
        <f t="shared" si="4"/>
        <v>7.7142857142857144</v>
      </c>
      <c r="G57">
        <f>_xlfn.CEILING.MATH($F57)</f>
        <v>8</v>
      </c>
      <c r="H57">
        <f t="shared" si="5"/>
        <v>-3.5714285714285698</v>
      </c>
    </row>
    <row r="58" spans="1:8" x14ac:dyDescent="0.3">
      <c r="A58">
        <v>55</v>
      </c>
      <c r="B58">
        <f t="shared" si="0"/>
        <v>6.875</v>
      </c>
      <c r="C58">
        <f t="shared" si="1"/>
        <v>6</v>
      </c>
      <c r="D58">
        <f t="shared" si="2"/>
        <v>7.75</v>
      </c>
      <c r="E58">
        <f t="shared" si="3"/>
        <v>7</v>
      </c>
      <c r="F58">
        <f t="shared" si="4"/>
        <v>7.8571428571428568</v>
      </c>
      <c r="G58">
        <f>_xlfn.CEILING.MATH($F58)</f>
        <v>8</v>
      </c>
      <c r="H58">
        <f t="shared" si="5"/>
        <v>-1.7857142857142905</v>
      </c>
    </row>
    <row r="59" spans="1:8" x14ac:dyDescent="0.3">
      <c r="A59">
        <v>56</v>
      </c>
      <c r="B59">
        <f t="shared" si="0"/>
        <v>7</v>
      </c>
      <c r="C59">
        <f t="shared" si="1"/>
        <v>7</v>
      </c>
      <c r="D59">
        <f t="shared" si="2"/>
        <v>7.875</v>
      </c>
      <c r="E59">
        <f t="shared" si="3"/>
        <v>7</v>
      </c>
      <c r="F59">
        <f t="shared" si="4"/>
        <v>8</v>
      </c>
      <c r="G59">
        <f>_xlfn.CEILING.MATH($F59)</f>
        <v>8</v>
      </c>
      <c r="H59">
        <f t="shared" si="5"/>
        <v>0</v>
      </c>
    </row>
    <row r="60" spans="1:8" x14ac:dyDescent="0.3">
      <c r="A60">
        <v>57</v>
      </c>
      <c r="B60">
        <f t="shared" si="0"/>
        <v>7.125</v>
      </c>
      <c r="C60">
        <f t="shared" si="1"/>
        <v>7</v>
      </c>
      <c r="D60">
        <f t="shared" si="2"/>
        <v>8</v>
      </c>
      <c r="E60">
        <f t="shared" si="3"/>
        <v>8</v>
      </c>
      <c r="F60">
        <f t="shared" si="4"/>
        <v>7.125</v>
      </c>
      <c r="G60">
        <f>_xlfn.CEILING.MATH($F60)</f>
        <v>8</v>
      </c>
      <c r="H60">
        <f t="shared" si="5"/>
        <v>-10.9375</v>
      </c>
    </row>
    <row r="61" spans="1:8" x14ac:dyDescent="0.3">
      <c r="A61">
        <v>58</v>
      </c>
      <c r="B61">
        <f t="shared" si="0"/>
        <v>7.25</v>
      </c>
      <c r="C61">
        <f t="shared" si="1"/>
        <v>7</v>
      </c>
      <c r="D61">
        <f t="shared" si="2"/>
        <v>8.125</v>
      </c>
      <c r="E61">
        <f t="shared" si="3"/>
        <v>8</v>
      </c>
      <c r="F61">
        <f t="shared" si="4"/>
        <v>7.25</v>
      </c>
      <c r="G61">
        <f>_xlfn.CEILING.MATH($F61)</f>
        <v>8</v>
      </c>
      <c r="H61">
        <f t="shared" si="5"/>
        <v>-9.375</v>
      </c>
    </row>
    <row r="62" spans="1:8" x14ac:dyDescent="0.3">
      <c r="A62">
        <v>59</v>
      </c>
      <c r="B62">
        <f t="shared" si="0"/>
        <v>7.375</v>
      </c>
      <c r="C62">
        <f t="shared" si="1"/>
        <v>7</v>
      </c>
      <c r="D62">
        <f t="shared" si="2"/>
        <v>8.25</v>
      </c>
      <c r="E62">
        <f t="shared" si="3"/>
        <v>8</v>
      </c>
      <c r="F62">
        <f t="shared" si="4"/>
        <v>7.375</v>
      </c>
      <c r="G62">
        <f>_xlfn.CEILING.MATH($F62)</f>
        <v>8</v>
      </c>
      <c r="H62">
        <f t="shared" si="5"/>
        <v>-7.8125</v>
      </c>
    </row>
    <row r="63" spans="1:8" x14ac:dyDescent="0.3">
      <c r="A63">
        <v>60</v>
      </c>
      <c r="B63">
        <f t="shared" si="0"/>
        <v>7.5</v>
      </c>
      <c r="C63">
        <f t="shared" si="1"/>
        <v>7</v>
      </c>
      <c r="D63">
        <f t="shared" si="2"/>
        <v>8.375</v>
      </c>
      <c r="E63">
        <f t="shared" si="3"/>
        <v>8</v>
      </c>
      <c r="F63">
        <f t="shared" si="4"/>
        <v>7.5</v>
      </c>
      <c r="G63">
        <f>_xlfn.CEILING.MATH($F63)</f>
        <v>8</v>
      </c>
      <c r="H63">
        <f t="shared" si="5"/>
        <v>-6.25</v>
      </c>
    </row>
    <row r="64" spans="1:8" x14ac:dyDescent="0.3">
      <c r="A64">
        <v>61</v>
      </c>
      <c r="B64">
        <f t="shared" si="0"/>
        <v>7.625</v>
      </c>
      <c r="C64">
        <f t="shared" si="1"/>
        <v>7</v>
      </c>
      <c r="D64">
        <f t="shared" si="2"/>
        <v>8.5</v>
      </c>
      <c r="E64">
        <f t="shared" si="3"/>
        <v>8</v>
      </c>
      <c r="F64">
        <f t="shared" si="4"/>
        <v>7.625</v>
      </c>
      <c r="G64">
        <f>_xlfn.CEILING.MATH($F64)</f>
        <v>8</v>
      </c>
      <c r="H64">
        <f t="shared" si="5"/>
        <v>-4.6875</v>
      </c>
    </row>
    <row r="65" spans="1:8" x14ac:dyDescent="0.3">
      <c r="A65">
        <v>62</v>
      </c>
      <c r="B65">
        <f t="shared" si="0"/>
        <v>7.75</v>
      </c>
      <c r="C65">
        <f t="shared" si="1"/>
        <v>7</v>
      </c>
      <c r="D65">
        <f t="shared" si="2"/>
        <v>8.625</v>
      </c>
      <c r="E65">
        <f t="shared" si="3"/>
        <v>8</v>
      </c>
      <c r="F65">
        <f t="shared" si="4"/>
        <v>7.75</v>
      </c>
      <c r="G65">
        <f>_xlfn.CEILING.MATH($F65)</f>
        <v>8</v>
      </c>
      <c r="H65">
        <f t="shared" si="5"/>
        <v>-3.125</v>
      </c>
    </row>
    <row r="66" spans="1:8" x14ac:dyDescent="0.3">
      <c r="A66">
        <v>63</v>
      </c>
      <c r="B66">
        <f t="shared" si="0"/>
        <v>7.875</v>
      </c>
      <c r="C66">
        <f t="shared" si="1"/>
        <v>7</v>
      </c>
      <c r="D66">
        <f t="shared" si="2"/>
        <v>8.75</v>
      </c>
      <c r="E66">
        <f t="shared" si="3"/>
        <v>8</v>
      </c>
      <c r="F66">
        <f t="shared" si="4"/>
        <v>7.875</v>
      </c>
      <c r="G66">
        <f>_xlfn.CEILING.MATH($F66)</f>
        <v>8</v>
      </c>
      <c r="H66">
        <f t="shared" si="5"/>
        <v>-1.5625</v>
      </c>
    </row>
    <row r="67" spans="1:8" x14ac:dyDescent="0.3">
      <c r="A67">
        <v>64</v>
      </c>
      <c r="B67">
        <f t="shared" si="0"/>
        <v>8</v>
      </c>
      <c r="C67">
        <f t="shared" si="1"/>
        <v>8</v>
      </c>
      <c r="D67">
        <f t="shared" si="2"/>
        <v>8.875</v>
      </c>
      <c r="E67">
        <f t="shared" si="3"/>
        <v>8</v>
      </c>
      <c r="F67">
        <f t="shared" si="4"/>
        <v>8</v>
      </c>
      <c r="G67">
        <f>_xlfn.CEILING.MATH($F67)</f>
        <v>8</v>
      </c>
      <c r="H67">
        <f t="shared" si="5"/>
        <v>0</v>
      </c>
    </row>
    <row r="68" spans="1:8" x14ac:dyDescent="0.3">
      <c r="A68">
        <v>65</v>
      </c>
      <c r="B68">
        <f t="shared" si="0"/>
        <v>8.125</v>
      </c>
      <c r="C68">
        <f t="shared" si="1"/>
        <v>8</v>
      </c>
      <c r="D68">
        <f t="shared" si="2"/>
        <v>9</v>
      </c>
      <c r="E68">
        <f t="shared" si="3"/>
        <v>9</v>
      </c>
      <c r="F68">
        <f t="shared" si="4"/>
        <v>7.2222222222222223</v>
      </c>
      <c r="G68">
        <f>_xlfn.CEILING.MATH($F68)</f>
        <v>8</v>
      </c>
      <c r="H68">
        <f t="shared" si="5"/>
        <v>-9.7222222222222214</v>
      </c>
    </row>
    <row r="69" spans="1:8" x14ac:dyDescent="0.3">
      <c r="A69">
        <v>66</v>
      </c>
      <c r="B69">
        <f t="shared" si="0"/>
        <v>8.25</v>
      </c>
      <c r="C69">
        <f t="shared" si="1"/>
        <v>8</v>
      </c>
      <c r="D69">
        <f t="shared" si="2"/>
        <v>9.125</v>
      </c>
      <c r="E69">
        <f t="shared" si="3"/>
        <v>9</v>
      </c>
      <c r="F69">
        <f t="shared" si="4"/>
        <v>7.333333333333333</v>
      </c>
      <c r="G69">
        <f>_xlfn.CEILING.MATH($F69)</f>
        <v>8</v>
      </c>
      <c r="H69">
        <f t="shared" si="5"/>
        <v>-8.3333333333333375</v>
      </c>
    </row>
    <row r="70" spans="1:8" x14ac:dyDescent="0.3">
      <c r="A70">
        <v>67</v>
      </c>
      <c r="B70">
        <f t="shared" ref="B70:B133" si="6">$A70/8</f>
        <v>8.375</v>
      </c>
      <c r="C70">
        <f t="shared" ref="C70:C133" si="7">_xlfn.FLOOR.MATH($B70)</f>
        <v>8</v>
      </c>
      <c r="D70">
        <f t="shared" ref="D70:D133" si="8">($A70+7)/8</f>
        <v>9.25</v>
      </c>
      <c r="E70">
        <f t="shared" ref="E70:E133" si="9">_xlfn.FLOOR.MATH($D70)</f>
        <v>9</v>
      </c>
      <c r="F70">
        <f t="shared" ref="F70:F133" si="10">$A70/$E70</f>
        <v>7.4444444444444446</v>
      </c>
      <c r="G70">
        <f>_xlfn.CEILING.MATH($F70)</f>
        <v>8</v>
      </c>
      <c r="H70">
        <f t="shared" ref="H70:H133" si="11">($F70/8-1)*100</f>
        <v>-6.944444444444442</v>
      </c>
    </row>
    <row r="71" spans="1:8" x14ac:dyDescent="0.3">
      <c r="A71">
        <v>68</v>
      </c>
      <c r="B71">
        <f t="shared" si="6"/>
        <v>8.5</v>
      </c>
      <c r="C71">
        <f t="shared" si="7"/>
        <v>8</v>
      </c>
      <c r="D71">
        <f t="shared" si="8"/>
        <v>9.375</v>
      </c>
      <c r="E71">
        <f t="shared" si="9"/>
        <v>9</v>
      </c>
      <c r="F71">
        <f t="shared" si="10"/>
        <v>7.5555555555555554</v>
      </c>
      <c r="G71">
        <f>_xlfn.CEILING.MATH($F71)</f>
        <v>8</v>
      </c>
      <c r="H71">
        <f t="shared" si="11"/>
        <v>-5.555555555555558</v>
      </c>
    </row>
    <row r="72" spans="1:8" x14ac:dyDescent="0.3">
      <c r="A72">
        <v>69</v>
      </c>
      <c r="B72">
        <f t="shared" si="6"/>
        <v>8.625</v>
      </c>
      <c r="C72">
        <f t="shared" si="7"/>
        <v>8</v>
      </c>
      <c r="D72">
        <f t="shared" si="8"/>
        <v>9.5</v>
      </c>
      <c r="E72">
        <f t="shared" si="9"/>
        <v>9</v>
      </c>
      <c r="F72">
        <f t="shared" si="10"/>
        <v>7.666666666666667</v>
      </c>
      <c r="G72">
        <f>_xlfn.CEILING.MATH($F72)</f>
        <v>8</v>
      </c>
      <c r="H72">
        <f t="shared" si="11"/>
        <v>-4.1666666666666625</v>
      </c>
    </row>
    <row r="73" spans="1:8" x14ac:dyDescent="0.3">
      <c r="A73">
        <v>70</v>
      </c>
      <c r="B73">
        <f t="shared" si="6"/>
        <v>8.75</v>
      </c>
      <c r="C73">
        <f t="shared" si="7"/>
        <v>8</v>
      </c>
      <c r="D73">
        <f t="shared" si="8"/>
        <v>9.625</v>
      </c>
      <c r="E73">
        <f t="shared" si="9"/>
        <v>9</v>
      </c>
      <c r="F73">
        <f t="shared" si="10"/>
        <v>7.7777777777777777</v>
      </c>
      <c r="G73">
        <f>_xlfn.CEILING.MATH($F73)</f>
        <v>8</v>
      </c>
      <c r="H73">
        <f t="shared" si="11"/>
        <v>-2.777777777777779</v>
      </c>
    </row>
    <row r="74" spans="1:8" x14ac:dyDescent="0.3">
      <c r="A74">
        <v>71</v>
      </c>
      <c r="B74">
        <f t="shared" si="6"/>
        <v>8.875</v>
      </c>
      <c r="C74">
        <f t="shared" si="7"/>
        <v>8</v>
      </c>
      <c r="D74">
        <f t="shared" si="8"/>
        <v>9.75</v>
      </c>
      <c r="E74">
        <f t="shared" si="9"/>
        <v>9</v>
      </c>
      <c r="F74">
        <f t="shared" si="10"/>
        <v>7.8888888888888893</v>
      </c>
      <c r="G74">
        <f>_xlfn.CEILING.MATH($F74)</f>
        <v>8</v>
      </c>
      <c r="H74">
        <f t="shared" si="11"/>
        <v>-1.388888888888884</v>
      </c>
    </row>
    <row r="75" spans="1:8" x14ac:dyDescent="0.3">
      <c r="A75">
        <v>72</v>
      </c>
      <c r="B75">
        <f t="shared" si="6"/>
        <v>9</v>
      </c>
      <c r="C75">
        <f t="shared" si="7"/>
        <v>9</v>
      </c>
      <c r="D75">
        <f t="shared" si="8"/>
        <v>9.875</v>
      </c>
      <c r="E75">
        <f t="shared" si="9"/>
        <v>9</v>
      </c>
      <c r="F75">
        <f t="shared" si="10"/>
        <v>8</v>
      </c>
      <c r="G75">
        <f>_xlfn.CEILING.MATH($F75)</f>
        <v>8</v>
      </c>
      <c r="H75">
        <f t="shared" si="11"/>
        <v>0</v>
      </c>
    </row>
    <row r="76" spans="1:8" x14ac:dyDescent="0.3">
      <c r="A76">
        <v>73</v>
      </c>
      <c r="B76">
        <f t="shared" si="6"/>
        <v>9.125</v>
      </c>
      <c r="C76">
        <f t="shared" si="7"/>
        <v>9</v>
      </c>
      <c r="D76">
        <f t="shared" si="8"/>
        <v>10</v>
      </c>
      <c r="E76">
        <f t="shared" si="9"/>
        <v>10</v>
      </c>
      <c r="F76">
        <f t="shared" si="10"/>
        <v>7.3</v>
      </c>
      <c r="G76">
        <f>_xlfn.CEILING.MATH($F76)</f>
        <v>8</v>
      </c>
      <c r="H76">
        <f t="shared" si="11"/>
        <v>-8.7500000000000018</v>
      </c>
    </row>
    <row r="77" spans="1:8" x14ac:dyDescent="0.3">
      <c r="A77">
        <v>74</v>
      </c>
      <c r="B77">
        <f t="shared" si="6"/>
        <v>9.25</v>
      </c>
      <c r="C77">
        <f t="shared" si="7"/>
        <v>9</v>
      </c>
      <c r="D77">
        <f t="shared" si="8"/>
        <v>10.125</v>
      </c>
      <c r="E77">
        <f t="shared" si="9"/>
        <v>10</v>
      </c>
      <c r="F77">
        <f t="shared" si="10"/>
        <v>7.4</v>
      </c>
      <c r="G77">
        <f>_xlfn.CEILING.MATH($F77)</f>
        <v>8</v>
      </c>
      <c r="H77">
        <f t="shared" si="11"/>
        <v>-7.4999999999999956</v>
      </c>
    </row>
    <row r="78" spans="1:8" x14ac:dyDescent="0.3">
      <c r="A78">
        <v>75</v>
      </c>
      <c r="B78">
        <f t="shared" si="6"/>
        <v>9.375</v>
      </c>
      <c r="C78">
        <f t="shared" si="7"/>
        <v>9</v>
      </c>
      <c r="D78">
        <f t="shared" si="8"/>
        <v>10.25</v>
      </c>
      <c r="E78">
        <f t="shared" si="9"/>
        <v>10</v>
      </c>
      <c r="F78">
        <f t="shared" si="10"/>
        <v>7.5</v>
      </c>
      <c r="G78">
        <f>_xlfn.CEILING.MATH($F78)</f>
        <v>8</v>
      </c>
      <c r="H78">
        <f t="shared" si="11"/>
        <v>-6.25</v>
      </c>
    </row>
    <row r="79" spans="1:8" x14ac:dyDescent="0.3">
      <c r="A79">
        <v>76</v>
      </c>
      <c r="B79">
        <f t="shared" si="6"/>
        <v>9.5</v>
      </c>
      <c r="C79">
        <f t="shared" si="7"/>
        <v>9</v>
      </c>
      <c r="D79">
        <f t="shared" si="8"/>
        <v>10.375</v>
      </c>
      <c r="E79">
        <f t="shared" si="9"/>
        <v>10</v>
      </c>
      <c r="F79">
        <f t="shared" si="10"/>
        <v>7.6</v>
      </c>
      <c r="G79">
        <f>_xlfn.CEILING.MATH($F79)</f>
        <v>8</v>
      </c>
      <c r="H79">
        <f t="shared" si="11"/>
        <v>-5.0000000000000044</v>
      </c>
    </row>
    <row r="80" spans="1:8" x14ac:dyDescent="0.3">
      <c r="A80">
        <v>77</v>
      </c>
      <c r="B80">
        <f t="shared" si="6"/>
        <v>9.625</v>
      </c>
      <c r="C80">
        <f t="shared" si="7"/>
        <v>9</v>
      </c>
      <c r="D80">
        <f t="shared" si="8"/>
        <v>10.5</v>
      </c>
      <c r="E80">
        <f t="shared" si="9"/>
        <v>10</v>
      </c>
      <c r="F80">
        <f t="shared" si="10"/>
        <v>7.7</v>
      </c>
      <c r="G80">
        <f>_xlfn.CEILING.MATH($F80)</f>
        <v>8</v>
      </c>
      <c r="H80">
        <f t="shared" si="11"/>
        <v>-3.7499999999999978</v>
      </c>
    </row>
    <row r="81" spans="1:8" x14ac:dyDescent="0.3">
      <c r="A81">
        <v>78</v>
      </c>
      <c r="B81">
        <f t="shared" si="6"/>
        <v>9.75</v>
      </c>
      <c r="C81">
        <f t="shared" si="7"/>
        <v>9</v>
      </c>
      <c r="D81">
        <f t="shared" si="8"/>
        <v>10.625</v>
      </c>
      <c r="E81">
        <f t="shared" si="9"/>
        <v>10</v>
      </c>
      <c r="F81">
        <f t="shared" si="10"/>
        <v>7.8</v>
      </c>
      <c r="G81">
        <f>_xlfn.CEILING.MATH($F81)</f>
        <v>8</v>
      </c>
      <c r="H81">
        <f t="shared" si="11"/>
        <v>-2.5000000000000022</v>
      </c>
    </row>
    <row r="82" spans="1:8" x14ac:dyDescent="0.3">
      <c r="A82">
        <v>79</v>
      </c>
      <c r="B82">
        <f t="shared" si="6"/>
        <v>9.875</v>
      </c>
      <c r="C82">
        <f t="shared" si="7"/>
        <v>9</v>
      </c>
      <c r="D82">
        <f t="shared" si="8"/>
        <v>10.75</v>
      </c>
      <c r="E82">
        <f t="shared" si="9"/>
        <v>10</v>
      </c>
      <c r="F82">
        <f t="shared" si="10"/>
        <v>7.9</v>
      </c>
      <c r="G82">
        <f>_xlfn.CEILING.MATH($F82)</f>
        <v>8</v>
      </c>
      <c r="H82">
        <f t="shared" si="11"/>
        <v>-1.2499999999999956</v>
      </c>
    </row>
    <row r="83" spans="1:8" x14ac:dyDescent="0.3">
      <c r="A83">
        <v>80</v>
      </c>
      <c r="B83">
        <f t="shared" si="6"/>
        <v>10</v>
      </c>
      <c r="C83">
        <f t="shared" si="7"/>
        <v>10</v>
      </c>
      <c r="D83">
        <f t="shared" si="8"/>
        <v>10.875</v>
      </c>
      <c r="E83">
        <f t="shared" si="9"/>
        <v>10</v>
      </c>
      <c r="F83">
        <f t="shared" si="10"/>
        <v>8</v>
      </c>
      <c r="G83">
        <f>_xlfn.CEILING.MATH($F83)</f>
        <v>8</v>
      </c>
      <c r="H83">
        <f t="shared" si="11"/>
        <v>0</v>
      </c>
    </row>
    <row r="84" spans="1:8" x14ac:dyDescent="0.3">
      <c r="A84">
        <v>81</v>
      </c>
      <c r="B84">
        <f t="shared" si="6"/>
        <v>10.125</v>
      </c>
      <c r="C84">
        <f t="shared" si="7"/>
        <v>10</v>
      </c>
      <c r="D84">
        <f t="shared" si="8"/>
        <v>11</v>
      </c>
      <c r="E84">
        <f t="shared" si="9"/>
        <v>11</v>
      </c>
      <c r="F84">
        <f t="shared" si="10"/>
        <v>7.3636363636363633</v>
      </c>
      <c r="G84">
        <f>_xlfn.CEILING.MATH($F84)</f>
        <v>8</v>
      </c>
      <c r="H84">
        <f t="shared" si="11"/>
        <v>-7.9545454545454586</v>
      </c>
    </row>
    <row r="85" spans="1:8" x14ac:dyDescent="0.3">
      <c r="A85">
        <v>82</v>
      </c>
      <c r="B85">
        <f t="shared" si="6"/>
        <v>10.25</v>
      </c>
      <c r="C85">
        <f t="shared" si="7"/>
        <v>10</v>
      </c>
      <c r="D85">
        <f t="shared" si="8"/>
        <v>11.125</v>
      </c>
      <c r="E85">
        <f t="shared" si="9"/>
        <v>11</v>
      </c>
      <c r="F85">
        <f t="shared" si="10"/>
        <v>7.4545454545454541</v>
      </c>
      <c r="G85">
        <f>_xlfn.CEILING.MATH($F85)</f>
        <v>8</v>
      </c>
      <c r="H85">
        <f t="shared" si="11"/>
        <v>-6.8181818181818237</v>
      </c>
    </row>
    <row r="86" spans="1:8" x14ac:dyDescent="0.3">
      <c r="A86">
        <v>83</v>
      </c>
      <c r="B86">
        <f t="shared" si="6"/>
        <v>10.375</v>
      </c>
      <c r="C86">
        <f t="shared" si="7"/>
        <v>10</v>
      </c>
      <c r="D86">
        <f t="shared" si="8"/>
        <v>11.25</v>
      </c>
      <c r="E86">
        <f t="shared" si="9"/>
        <v>11</v>
      </c>
      <c r="F86">
        <f t="shared" si="10"/>
        <v>7.5454545454545459</v>
      </c>
      <c r="G86">
        <f>_xlfn.CEILING.MATH($F86)</f>
        <v>8</v>
      </c>
      <c r="H86">
        <f t="shared" si="11"/>
        <v>-5.6818181818181763</v>
      </c>
    </row>
    <row r="87" spans="1:8" x14ac:dyDescent="0.3">
      <c r="A87">
        <v>84</v>
      </c>
      <c r="B87">
        <f t="shared" si="6"/>
        <v>10.5</v>
      </c>
      <c r="C87">
        <f t="shared" si="7"/>
        <v>10</v>
      </c>
      <c r="D87">
        <f t="shared" si="8"/>
        <v>11.375</v>
      </c>
      <c r="E87">
        <f t="shared" si="9"/>
        <v>11</v>
      </c>
      <c r="F87">
        <f t="shared" si="10"/>
        <v>7.6363636363636367</v>
      </c>
      <c r="G87">
        <f>_xlfn.CEILING.MATH($F87)</f>
        <v>8</v>
      </c>
      <c r="H87">
        <f t="shared" si="11"/>
        <v>-4.5454545454545414</v>
      </c>
    </row>
    <row r="88" spans="1:8" x14ac:dyDescent="0.3">
      <c r="A88">
        <v>85</v>
      </c>
      <c r="B88">
        <f t="shared" si="6"/>
        <v>10.625</v>
      </c>
      <c r="C88">
        <f t="shared" si="7"/>
        <v>10</v>
      </c>
      <c r="D88">
        <f t="shared" si="8"/>
        <v>11.5</v>
      </c>
      <c r="E88">
        <f t="shared" si="9"/>
        <v>11</v>
      </c>
      <c r="F88">
        <f t="shared" si="10"/>
        <v>7.7272727272727275</v>
      </c>
      <c r="G88">
        <f>_xlfn.CEILING.MATH($F88)</f>
        <v>8</v>
      </c>
      <c r="H88">
        <f t="shared" si="11"/>
        <v>-3.4090909090909061</v>
      </c>
    </row>
    <row r="89" spans="1:8" x14ac:dyDescent="0.3">
      <c r="A89">
        <v>86</v>
      </c>
      <c r="B89">
        <f t="shared" si="6"/>
        <v>10.75</v>
      </c>
      <c r="C89">
        <f t="shared" si="7"/>
        <v>10</v>
      </c>
      <c r="D89">
        <f t="shared" si="8"/>
        <v>11.625</v>
      </c>
      <c r="E89">
        <f t="shared" si="9"/>
        <v>11</v>
      </c>
      <c r="F89">
        <f t="shared" si="10"/>
        <v>7.8181818181818183</v>
      </c>
      <c r="G89">
        <f>_xlfn.CEILING.MATH($F89)</f>
        <v>8</v>
      </c>
      <c r="H89">
        <f t="shared" si="11"/>
        <v>-2.2727272727272707</v>
      </c>
    </row>
    <row r="90" spans="1:8" x14ac:dyDescent="0.3">
      <c r="A90">
        <v>87</v>
      </c>
      <c r="B90">
        <f t="shared" si="6"/>
        <v>10.875</v>
      </c>
      <c r="C90">
        <f t="shared" si="7"/>
        <v>10</v>
      </c>
      <c r="D90">
        <f t="shared" si="8"/>
        <v>11.75</v>
      </c>
      <c r="E90">
        <f t="shared" si="9"/>
        <v>11</v>
      </c>
      <c r="F90">
        <f t="shared" si="10"/>
        <v>7.9090909090909092</v>
      </c>
      <c r="G90">
        <f>_xlfn.CEILING.MATH($F90)</f>
        <v>8</v>
      </c>
      <c r="H90">
        <f t="shared" si="11"/>
        <v>-1.1363636363636354</v>
      </c>
    </row>
    <row r="91" spans="1:8" x14ac:dyDescent="0.3">
      <c r="A91">
        <v>88</v>
      </c>
      <c r="B91">
        <f t="shared" si="6"/>
        <v>11</v>
      </c>
      <c r="C91">
        <f t="shared" si="7"/>
        <v>11</v>
      </c>
      <c r="D91">
        <f t="shared" si="8"/>
        <v>11.875</v>
      </c>
      <c r="E91">
        <f t="shared" si="9"/>
        <v>11</v>
      </c>
      <c r="F91">
        <f t="shared" si="10"/>
        <v>8</v>
      </c>
      <c r="G91">
        <f>_xlfn.CEILING.MATH($F91)</f>
        <v>8</v>
      </c>
      <c r="H91">
        <f t="shared" si="11"/>
        <v>0</v>
      </c>
    </row>
    <row r="92" spans="1:8" x14ac:dyDescent="0.3">
      <c r="A92">
        <v>89</v>
      </c>
      <c r="B92">
        <f t="shared" si="6"/>
        <v>11.125</v>
      </c>
      <c r="C92">
        <f t="shared" si="7"/>
        <v>11</v>
      </c>
      <c r="D92">
        <f t="shared" si="8"/>
        <v>12</v>
      </c>
      <c r="E92">
        <f t="shared" si="9"/>
        <v>12</v>
      </c>
      <c r="F92">
        <f t="shared" si="10"/>
        <v>7.416666666666667</v>
      </c>
      <c r="G92">
        <f>_xlfn.CEILING.MATH($F92)</f>
        <v>8</v>
      </c>
      <c r="H92">
        <f t="shared" si="11"/>
        <v>-7.2916666666666625</v>
      </c>
    </row>
    <row r="93" spans="1:8" x14ac:dyDescent="0.3">
      <c r="A93">
        <v>90</v>
      </c>
      <c r="B93">
        <f t="shared" si="6"/>
        <v>11.25</v>
      </c>
      <c r="C93">
        <f t="shared" si="7"/>
        <v>11</v>
      </c>
      <c r="D93">
        <f t="shared" si="8"/>
        <v>12.125</v>
      </c>
      <c r="E93">
        <f t="shared" si="9"/>
        <v>12</v>
      </c>
      <c r="F93">
        <f t="shared" si="10"/>
        <v>7.5</v>
      </c>
      <c r="G93">
        <f>_xlfn.CEILING.MATH($F93)</f>
        <v>8</v>
      </c>
      <c r="H93">
        <f t="shared" si="11"/>
        <v>-6.25</v>
      </c>
    </row>
    <row r="94" spans="1:8" x14ac:dyDescent="0.3">
      <c r="A94">
        <v>91</v>
      </c>
      <c r="B94">
        <f t="shared" si="6"/>
        <v>11.375</v>
      </c>
      <c r="C94">
        <f t="shared" si="7"/>
        <v>11</v>
      </c>
      <c r="D94">
        <f t="shared" si="8"/>
        <v>12.25</v>
      </c>
      <c r="E94">
        <f t="shared" si="9"/>
        <v>12</v>
      </c>
      <c r="F94">
        <f t="shared" si="10"/>
        <v>7.583333333333333</v>
      </c>
      <c r="G94">
        <f>_xlfn.CEILING.MATH($F94)</f>
        <v>8</v>
      </c>
      <c r="H94">
        <f t="shared" si="11"/>
        <v>-5.2083333333333375</v>
      </c>
    </row>
    <row r="95" spans="1:8" x14ac:dyDescent="0.3">
      <c r="A95">
        <v>92</v>
      </c>
      <c r="B95">
        <f t="shared" si="6"/>
        <v>11.5</v>
      </c>
      <c r="C95">
        <f t="shared" si="7"/>
        <v>11</v>
      </c>
      <c r="D95">
        <f t="shared" si="8"/>
        <v>12.375</v>
      </c>
      <c r="E95">
        <f t="shared" si="9"/>
        <v>12</v>
      </c>
      <c r="F95">
        <f t="shared" si="10"/>
        <v>7.666666666666667</v>
      </c>
      <c r="G95">
        <f>_xlfn.CEILING.MATH($F95)</f>
        <v>8</v>
      </c>
      <c r="H95">
        <f t="shared" si="11"/>
        <v>-4.1666666666666625</v>
      </c>
    </row>
    <row r="96" spans="1:8" x14ac:dyDescent="0.3">
      <c r="A96">
        <v>93</v>
      </c>
      <c r="B96">
        <f t="shared" si="6"/>
        <v>11.625</v>
      </c>
      <c r="C96">
        <f t="shared" si="7"/>
        <v>11</v>
      </c>
      <c r="D96">
        <f t="shared" si="8"/>
        <v>12.5</v>
      </c>
      <c r="E96">
        <f t="shared" si="9"/>
        <v>12</v>
      </c>
      <c r="F96">
        <f t="shared" si="10"/>
        <v>7.75</v>
      </c>
      <c r="G96">
        <f>_xlfn.CEILING.MATH($F96)</f>
        <v>8</v>
      </c>
      <c r="H96">
        <f t="shared" si="11"/>
        <v>-3.125</v>
      </c>
    </row>
    <row r="97" spans="1:8" x14ac:dyDescent="0.3">
      <c r="A97">
        <v>94</v>
      </c>
      <c r="B97">
        <f t="shared" si="6"/>
        <v>11.75</v>
      </c>
      <c r="C97">
        <f t="shared" si="7"/>
        <v>11</v>
      </c>
      <c r="D97">
        <f t="shared" si="8"/>
        <v>12.625</v>
      </c>
      <c r="E97">
        <f t="shared" si="9"/>
        <v>12</v>
      </c>
      <c r="F97">
        <f t="shared" si="10"/>
        <v>7.833333333333333</v>
      </c>
      <c r="G97">
        <f>_xlfn.CEILING.MATH($F97)</f>
        <v>8</v>
      </c>
      <c r="H97">
        <f t="shared" si="11"/>
        <v>-2.083333333333337</v>
      </c>
    </row>
    <row r="98" spans="1:8" x14ac:dyDescent="0.3">
      <c r="A98">
        <v>95</v>
      </c>
      <c r="B98">
        <f t="shared" si="6"/>
        <v>11.875</v>
      </c>
      <c r="C98">
        <f t="shared" si="7"/>
        <v>11</v>
      </c>
      <c r="D98">
        <f t="shared" si="8"/>
        <v>12.75</v>
      </c>
      <c r="E98">
        <f t="shared" si="9"/>
        <v>12</v>
      </c>
      <c r="F98">
        <f t="shared" si="10"/>
        <v>7.916666666666667</v>
      </c>
      <c r="G98">
        <f>_xlfn.CEILING.MATH($F98)</f>
        <v>8</v>
      </c>
      <c r="H98">
        <f t="shared" si="11"/>
        <v>-1.041666666666663</v>
      </c>
    </row>
    <row r="99" spans="1:8" x14ac:dyDescent="0.3">
      <c r="A99">
        <v>96</v>
      </c>
      <c r="B99">
        <f t="shared" si="6"/>
        <v>12</v>
      </c>
      <c r="C99">
        <f t="shared" si="7"/>
        <v>12</v>
      </c>
      <c r="D99">
        <f t="shared" si="8"/>
        <v>12.875</v>
      </c>
      <c r="E99">
        <f t="shared" si="9"/>
        <v>12</v>
      </c>
      <c r="F99">
        <f t="shared" si="10"/>
        <v>8</v>
      </c>
      <c r="G99">
        <f>_xlfn.CEILING.MATH($F99)</f>
        <v>8</v>
      </c>
      <c r="H99">
        <f t="shared" si="11"/>
        <v>0</v>
      </c>
    </row>
    <row r="100" spans="1:8" x14ac:dyDescent="0.3">
      <c r="A100">
        <v>97</v>
      </c>
      <c r="B100">
        <f t="shared" si="6"/>
        <v>12.125</v>
      </c>
      <c r="C100">
        <f t="shared" si="7"/>
        <v>12</v>
      </c>
      <c r="D100">
        <f t="shared" si="8"/>
        <v>13</v>
      </c>
      <c r="E100">
        <f t="shared" si="9"/>
        <v>13</v>
      </c>
      <c r="F100">
        <f t="shared" si="10"/>
        <v>7.4615384615384617</v>
      </c>
      <c r="G100">
        <f>_xlfn.CEILING.MATH($F100)</f>
        <v>8</v>
      </c>
      <c r="H100">
        <f t="shared" si="11"/>
        <v>-6.7307692307692291</v>
      </c>
    </row>
    <row r="101" spans="1:8" x14ac:dyDescent="0.3">
      <c r="A101">
        <v>98</v>
      </c>
      <c r="B101">
        <f t="shared" si="6"/>
        <v>12.25</v>
      </c>
      <c r="C101">
        <f t="shared" si="7"/>
        <v>12</v>
      </c>
      <c r="D101">
        <f t="shared" si="8"/>
        <v>13.125</v>
      </c>
      <c r="E101">
        <f t="shared" si="9"/>
        <v>13</v>
      </c>
      <c r="F101">
        <f t="shared" si="10"/>
        <v>7.5384615384615383</v>
      </c>
      <c r="G101">
        <f>_xlfn.CEILING.MATH($F101)</f>
        <v>8</v>
      </c>
      <c r="H101">
        <f t="shared" si="11"/>
        <v>-5.7692307692307709</v>
      </c>
    </row>
    <row r="102" spans="1:8" x14ac:dyDescent="0.3">
      <c r="A102">
        <v>99</v>
      </c>
      <c r="B102">
        <f t="shared" si="6"/>
        <v>12.375</v>
      </c>
      <c r="C102">
        <f t="shared" si="7"/>
        <v>12</v>
      </c>
      <c r="D102">
        <f t="shared" si="8"/>
        <v>13.25</v>
      </c>
      <c r="E102">
        <f t="shared" si="9"/>
        <v>13</v>
      </c>
      <c r="F102">
        <f t="shared" si="10"/>
        <v>7.615384615384615</v>
      </c>
      <c r="G102">
        <f>_xlfn.CEILING.MATH($F102)</f>
        <v>8</v>
      </c>
      <c r="H102">
        <f t="shared" si="11"/>
        <v>-4.8076923076923128</v>
      </c>
    </row>
    <row r="103" spans="1:8" x14ac:dyDescent="0.3">
      <c r="A103">
        <v>100</v>
      </c>
      <c r="B103">
        <f t="shared" si="6"/>
        <v>12.5</v>
      </c>
      <c r="C103">
        <f t="shared" si="7"/>
        <v>12</v>
      </c>
      <c r="D103">
        <f t="shared" si="8"/>
        <v>13.375</v>
      </c>
      <c r="E103">
        <f t="shared" si="9"/>
        <v>13</v>
      </c>
      <c r="F103">
        <f t="shared" si="10"/>
        <v>7.6923076923076925</v>
      </c>
      <c r="G103">
        <f>_xlfn.CEILING.MATH($F103)</f>
        <v>8</v>
      </c>
      <c r="H103">
        <f t="shared" si="11"/>
        <v>-3.8461538461538436</v>
      </c>
    </row>
    <row r="104" spans="1:8" x14ac:dyDescent="0.3">
      <c r="A104">
        <v>101</v>
      </c>
      <c r="B104">
        <f t="shared" si="6"/>
        <v>12.625</v>
      </c>
      <c r="C104">
        <f t="shared" si="7"/>
        <v>12</v>
      </c>
      <c r="D104">
        <f t="shared" si="8"/>
        <v>13.5</v>
      </c>
      <c r="E104">
        <f t="shared" si="9"/>
        <v>13</v>
      </c>
      <c r="F104">
        <f t="shared" si="10"/>
        <v>7.7692307692307692</v>
      </c>
      <c r="G104">
        <f>_xlfn.CEILING.MATH($F104)</f>
        <v>8</v>
      </c>
      <c r="H104">
        <f t="shared" si="11"/>
        <v>-2.8846153846153855</v>
      </c>
    </row>
    <row r="105" spans="1:8" x14ac:dyDescent="0.3">
      <c r="A105">
        <v>102</v>
      </c>
      <c r="B105">
        <f t="shared" si="6"/>
        <v>12.75</v>
      </c>
      <c r="C105">
        <f t="shared" si="7"/>
        <v>12</v>
      </c>
      <c r="D105">
        <f t="shared" si="8"/>
        <v>13.625</v>
      </c>
      <c r="E105">
        <f t="shared" si="9"/>
        <v>13</v>
      </c>
      <c r="F105">
        <f t="shared" si="10"/>
        <v>7.8461538461538458</v>
      </c>
      <c r="G105">
        <f>_xlfn.CEILING.MATH($F105)</f>
        <v>8</v>
      </c>
      <c r="H105">
        <f t="shared" si="11"/>
        <v>-1.9230769230769273</v>
      </c>
    </row>
    <row r="106" spans="1:8" x14ac:dyDescent="0.3">
      <c r="A106">
        <v>103</v>
      </c>
      <c r="B106">
        <f t="shared" si="6"/>
        <v>12.875</v>
      </c>
      <c r="C106">
        <f t="shared" si="7"/>
        <v>12</v>
      </c>
      <c r="D106">
        <f t="shared" si="8"/>
        <v>13.75</v>
      </c>
      <c r="E106">
        <f t="shared" si="9"/>
        <v>13</v>
      </c>
      <c r="F106">
        <f t="shared" si="10"/>
        <v>7.9230769230769234</v>
      </c>
      <c r="G106">
        <f>_xlfn.CEILING.MATH($F106)</f>
        <v>8</v>
      </c>
      <c r="H106">
        <f t="shared" si="11"/>
        <v>-0.96153846153845812</v>
      </c>
    </row>
    <row r="107" spans="1:8" x14ac:dyDescent="0.3">
      <c r="A107">
        <v>104</v>
      </c>
      <c r="B107">
        <f t="shared" si="6"/>
        <v>13</v>
      </c>
      <c r="C107">
        <f t="shared" si="7"/>
        <v>13</v>
      </c>
      <c r="D107">
        <f t="shared" si="8"/>
        <v>13.875</v>
      </c>
      <c r="E107">
        <f t="shared" si="9"/>
        <v>13</v>
      </c>
      <c r="F107">
        <f t="shared" si="10"/>
        <v>8</v>
      </c>
      <c r="G107">
        <f>_xlfn.CEILING.MATH($F107)</f>
        <v>8</v>
      </c>
      <c r="H107">
        <f t="shared" si="11"/>
        <v>0</v>
      </c>
    </row>
    <row r="108" spans="1:8" x14ac:dyDescent="0.3">
      <c r="A108">
        <v>105</v>
      </c>
      <c r="B108">
        <f t="shared" si="6"/>
        <v>13.125</v>
      </c>
      <c r="C108">
        <f t="shared" si="7"/>
        <v>13</v>
      </c>
      <c r="D108">
        <f t="shared" si="8"/>
        <v>14</v>
      </c>
      <c r="E108">
        <f t="shared" si="9"/>
        <v>14</v>
      </c>
      <c r="F108">
        <f t="shared" si="10"/>
        <v>7.5</v>
      </c>
      <c r="G108">
        <f>_xlfn.CEILING.MATH($F108)</f>
        <v>8</v>
      </c>
      <c r="H108">
        <f t="shared" si="11"/>
        <v>-6.25</v>
      </c>
    </row>
    <row r="109" spans="1:8" x14ac:dyDescent="0.3">
      <c r="A109">
        <v>106</v>
      </c>
      <c r="B109">
        <f t="shared" si="6"/>
        <v>13.25</v>
      </c>
      <c r="C109">
        <f t="shared" si="7"/>
        <v>13</v>
      </c>
      <c r="D109">
        <f t="shared" si="8"/>
        <v>14.125</v>
      </c>
      <c r="E109">
        <f t="shared" si="9"/>
        <v>14</v>
      </c>
      <c r="F109">
        <f t="shared" si="10"/>
        <v>7.5714285714285712</v>
      </c>
      <c r="G109">
        <f>_xlfn.CEILING.MATH($F109)</f>
        <v>8</v>
      </c>
      <c r="H109">
        <f t="shared" si="11"/>
        <v>-5.3571428571428603</v>
      </c>
    </row>
    <row r="110" spans="1:8" x14ac:dyDescent="0.3">
      <c r="A110">
        <v>107</v>
      </c>
      <c r="B110">
        <f t="shared" si="6"/>
        <v>13.375</v>
      </c>
      <c r="C110">
        <f t="shared" si="7"/>
        <v>13</v>
      </c>
      <c r="D110">
        <f t="shared" si="8"/>
        <v>14.25</v>
      </c>
      <c r="E110">
        <f t="shared" si="9"/>
        <v>14</v>
      </c>
      <c r="F110">
        <f t="shared" si="10"/>
        <v>7.6428571428571432</v>
      </c>
      <c r="G110">
        <f>_xlfn.CEILING.MATH($F110)</f>
        <v>8</v>
      </c>
      <c r="H110">
        <f t="shared" si="11"/>
        <v>-4.46428571428571</v>
      </c>
    </row>
    <row r="111" spans="1:8" x14ac:dyDescent="0.3">
      <c r="A111">
        <v>108</v>
      </c>
      <c r="B111">
        <f t="shared" si="6"/>
        <v>13.5</v>
      </c>
      <c r="C111">
        <f t="shared" si="7"/>
        <v>13</v>
      </c>
      <c r="D111">
        <f t="shared" si="8"/>
        <v>14.375</v>
      </c>
      <c r="E111">
        <f t="shared" si="9"/>
        <v>14</v>
      </c>
      <c r="F111">
        <f t="shared" si="10"/>
        <v>7.7142857142857144</v>
      </c>
      <c r="G111">
        <f>_xlfn.CEILING.MATH($F111)</f>
        <v>8</v>
      </c>
      <c r="H111">
        <f t="shared" si="11"/>
        <v>-3.5714285714285698</v>
      </c>
    </row>
    <row r="112" spans="1:8" x14ac:dyDescent="0.3">
      <c r="A112">
        <v>109</v>
      </c>
      <c r="B112">
        <f t="shared" si="6"/>
        <v>13.625</v>
      </c>
      <c r="C112">
        <f t="shared" si="7"/>
        <v>13</v>
      </c>
      <c r="D112">
        <f t="shared" si="8"/>
        <v>14.5</v>
      </c>
      <c r="E112">
        <f t="shared" si="9"/>
        <v>14</v>
      </c>
      <c r="F112">
        <f t="shared" si="10"/>
        <v>7.7857142857142856</v>
      </c>
      <c r="G112">
        <f>_xlfn.CEILING.MATH($F112)</f>
        <v>8</v>
      </c>
      <c r="H112">
        <f t="shared" si="11"/>
        <v>-2.6785714285714302</v>
      </c>
    </row>
    <row r="113" spans="1:8" x14ac:dyDescent="0.3">
      <c r="A113">
        <v>110</v>
      </c>
      <c r="B113">
        <f t="shared" si="6"/>
        <v>13.75</v>
      </c>
      <c r="C113">
        <f t="shared" si="7"/>
        <v>13</v>
      </c>
      <c r="D113">
        <f t="shared" si="8"/>
        <v>14.625</v>
      </c>
      <c r="E113">
        <f t="shared" si="9"/>
        <v>14</v>
      </c>
      <c r="F113">
        <f t="shared" si="10"/>
        <v>7.8571428571428568</v>
      </c>
      <c r="G113">
        <f>_xlfn.CEILING.MATH($F113)</f>
        <v>8</v>
      </c>
      <c r="H113">
        <f t="shared" si="11"/>
        <v>-1.7857142857142905</v>
      </c>
    </row>
    <row r="114" spans="1:8" x14ac:dyDescent="0.3">
      <c r="A114">
        <v>111</v>
      </c>
      <c r="B114">
        <f t="shared" si="6"/>
        <v>13.875</v>
      </c>
      <c r="C114">
        <f t="shared" si="7"/>
        <v>13</v>
      </c>
      <c r="D114">
        <f t="shared" si="8"/>
        <v>14.75</v>
      </c>
      <c r="E114">
        <f t="shared" si="9"/>
        <v>14</v>
      </c>
      <c r="F114">
        <f t="shared" si="10"/>
        <v>7.9285714285714288</v>
      </c>
      <c r="G114">
        <f>_xlfn.CEILING.MATH($F114)</f>
        <v>8</v>
      </c>
      <c r="H114">
        <f t="shared" si="11"/>
        <v>-0.89285714285713969</v>
      </c>
    </row>
    <row r="115" spans="1:8" x14ac:dyDescent="0.3">
      <c r="A115">
        <v>112</v>
      </c>
      <c r="B115">
        <f t="shared" si="6"/>
        <v>14</v>
      </c>
      <c r="C115">
        <f t="shared" si="7"/>
        <v>14</v>
      </c>
      <c r="D115">
        <f t="shared" si="8"/>
        <v>14.875</v>
      </c>
      <c r="E115">
        <f t="shared" si="9"/>
        <v>14</v>
      </c>
      <c r="F115">
        <f t="shared" si="10"/>
        <v>8</v>
      </c>
      <c r="G115">
        <f>_xlfn.CEILING.MATH($F115)</f>
        <v>8</v>
      </c>
      <c r="H115">
        <f t="shared" si="11"/>
        <v>0</v>
      </c>
    </row>
    <row r="116" spans="1:8" x14ac:dyDescent="0.3">
      <c r="A116">
        <v>113</v>
      </c>
      <c r="B116">
        <f t="shared" si="6"/>
        <v>14.125</v>
      </c>
      <c r="C116">
        <f t="shared" si="7"/>
        <v>14</v>
      </c>
      <c r="D116">
        <f t="shared" si="8"/>
        <v>15</v>
      </c>
      <c r="E116">
        <f t="shared" si="9"/>
        <v>15</v>
      </c>
      <c r="F116">
        <f t="shared" si="10"/>
        <v>7.5333333333333332</v>
      </c>
      <c r="G116">
        <f>_xlfn.CEILING.MATH($F116)</f>
        <v>8</v>
      </c>
      <c r="H116">
        <f t="shared" si="11"/>
        <v>-5.8333333333333348</v>
      </c>
    </row>
    <row r="117" spans="1:8" x14ac:dyDescent="0.3">
      <c r="A117">
        <v>114</v>
      </c>
      <c r="B117">
        <f t="shared" si="6"/>
        <v>14.25</v>
      </c>
      <c r="C117">
        <f t="shared" si="7"/>
        <v>14</v>
      </c>
      <c r="D117">
        <f t="shared" si="8"/>
        <v>15.125</v>
      </c>
      <c r="E117">
        <f t="shared" si="9"/>
        <v>15</v>
      </c>
      <c r="F117">
        <f t="shared" si="10"/>
        <v>7.6</v>
      </c>
      <c r="G117">
        <f>_xlfn.CEILING.MATH($F117)</f>
        <v>8</v>
      </c>
      <c r="H117">
        <f t="shared" si="11"/>
        <v>-5.0000000000000044</v>
      </c>
    </row>
    <row r="118" spans="1:8" x14ac:dyDescent="0.3">
      <c r="A118">
        <v>115</v>
      </c>
      <c r="B118">
        <f t="shared" si="6"/>
        <v>14.375</v>
      </c>
      <c r="C118">
        <f t="shared" si="7"/>
        <v>14</v>
      </c>
      <c r="D118">
        <f t="shared" si="8"/>
        <v>15.25</v>
      </c>
      <c r="E118">
        <f t="shared" si="9"/>
        <v>15</v>
      </c>
      <c r="F118">
        <f t="shared" si="10"/>
        <v>7.666666666666667</v>
      </c>
      <c r="G118">
        <f>_xlfn.CEILING.MATH($F118)</f>
        <v>8</v>
      </c>
      <c r="H118">
        <f t="shared" si="11"/>
        <v>-4.1666666666666625</v>
      </c>
    </row>
    <row r="119" spans="1:8" x14ac:dyDescent="0.3">
      <c r="A119">
        <v>116</v>
      </c>
      <c r="B119">
        <f t="shared" si="6"/>
        <v>14.5</v>
      </c>
      <c r="C119">
        <f t="shared" si="7"/>
        <v>14</v>
      </c>
      <c r="D119">
        <f t="shared" si="8"/>
        <v>15.375</v>
      </c>
      <c r="E119">
        <f t="shared" si="9"/>
        <v>15</v>
      </c>
      <c r="F119">
        <f t="shared" si="10"/>
        <v>7.7333333333333334</v>
      </c>
      <c r="G119">
        <f>_xlfn.CEILING.MATH($F119)</f>
        <v>8</v>
      </c>
      <c r="H119">
        <f t="shared" si="11"/>
        <v>-3.3333333333333326</v>
      </c>
    </row>
    <row r="120" spans="1:8" x14ac:dyDescent="0.3">
      <c r="A120">
        <v>117</v>
      </c>
      <c r="B120">
        <f t="shared" si="6"/>
        <v>14.625</v>
      </c>
      <c r="C120">
        <f t="shared" si="7"/>
        <v>14</v>
      </c>
      <c r="D120">
        <f t="shared" si="8"/>
        <v>15.5</v>
      </c>
      <c r="E120">
        <f t="shared" si="9"/>
        <v>15</v>
      </c>
      <c r="F120">
        <f t="shared" si="10"/>
        <v>7.8</v>
      </c>
      <c r="G120">
        <f>_xlfn.CEILING.MATH($F120)</f>
        <v>8</v>
      </c>
      <c r="H120">
        <f t="shared" si="11"/>
        <v>-2.5000000000000022</v>
      </c>
    </row>
    <row r="121" spans="1:8" x14ac:dyDescent="0.3">
      <c r="A121">
        <v>118</v>
      </c>
      <c r="B121">
        <f t="shared" si="6"/>
        <v>14.75</v>
      </c>
      <c r="C121">
        <f t="shared" si="7"/>
        <v>14</v>
      </c>
      <c r="D121">
        <f t="shared" si="8"/>
        <v>15.625</v>
      </c>
      <c r="E121">
        <f t="shared" si="9"/>
        <v>15</v>
      </c>
      <c r="F121">
        <f t="shared" si="10"/>
        <v>7.8666666666666663</v>
      </c>
      <c r="G121">
        <f>_xlfn.CEILING.MATH($F121)</f>
        <v>8</v>
      </c>
      <c r="H121">
        <f t="shared" si="11"/>
        <v>-1.6666666666666718</v>
      </c>
    </row>
    <row r="122" spans="1:8" x14ac:dyDescent="0.3">
      <c r="A122">
        <v>119</v>
      </c>
      <c r="B122">
        <f t="shared" si="6"/>
        <v>14.875</v>
      </c>
      <c r="C122">
        <f t="shared" si="7"/>
        <v>14</v>
      </c>
      <c r="D122">
        <f t="shared" si="8"/>
        <v>15.75</v>
      </c>
      <c r="E122">
        <f t="shared" si="9"/>
        <v>15</v>
      </c>
      <c r="F122">
        <f t="shared" si="10"/>
        <v>7.9333333333333336</v>
      </c>
      <c r="G122">
        <f>_xlfn.CEILING.MATH($F122)</f>
        <v>8</v>
      </c>
      <c r="H122">
        <f t="shared" si="11"/>
        <v>-0.83333333333333037</v>
      </c>
    </row>
    <row r="123" spans="1:8" x14ac:dyDescent="0.3">
      <c r="A123">
        <v>120</v>
      </c>
      <c r="B123">
        <f t="shared" si="6"/>
        <v>15</v>
      </c>
      <c r="C123">
        <f t="shared" si="7"/>
        <v>15</v>
      </c>
      <c r="D123">
        <f t="shared" si="8"/>
        <v>15.875</v>
      </c>
      <c r="E123">
        <f t="shared" si="9"/>
        <v>15</v>
      </c>
      <c r="F123">
        <f t="shared" si="10"/>
        <v>8</v>
      </c>
      <c r="G123">
        <f>_xlfn.CEILING.MATH($F123)</f>
        <v>8</v>
      </c>
      <c r="H123">
        <f t="shared" si="11"/>
        <v>0</v>
      </c>
    </row>
    <row r="124" spans="1:8" x14ac:dyDescent="0.3">
      <c r="A124">
        <v>121</v>
      </c>
      <c r="B124">
        <f t="shared" si="6"/>
        <v>15.125</v>
      </c>
      <c r="C124">
        <f t="shared" si="7"/>
        <v>15</v>
      </c>
      <c r="D124">
        <f t="shared" si="8"/>
        <v>16</v>
      </c>
      <c r="E124">
        <f t="shared" si="9"/>
        <v>16</v>
      </c>
      <c r="F124">
        <f t="shared" si="10"/>
        <v>7.5625</v>
      </c>
      <c r="G124">
        <f>_xlfn.CEILING.MATH($F124)</f>
        <v>8</v>
      </c>
      <c r="H124">
        <f t="shared" si="11"/>
        <v>-5.46875</v>
      </c>
    </row>
    <row r="125" spans="1:8" x14ac:dyDescent="0.3">
      <c r="A125">
        <v>122</v>
      </c>
      <c r="B125">
        <f t="shared" si="6"/>
        <v>15.25</v>
      </c>
      <c r="C125">
        <f t="shared" si="7"/>
        <v>15</v>
      </c>
      <c r="D125">
        <f t="shared" si="8"/>
        <v>16.125</v>
      </c>
      <c r="E125">
        <f t="shared" si="9"/>
        <v>16</v>
      </c>
      <c r="F125">
        <f t="shared" si="10"/>
        <v>7.625</v>
      </c>
      <c r="G125">
        <f>_xlfn.CEILING.MATH($F125)</f>
        <v>8</v>
      </c>
      <c r="H125">
        <f t="shared" si="11"/>
        <v>-4.6875</v>
      </c>
    </row>
    <row r="126" spans="1:8" x14ac:dyDescent="0.3">
      <c r="A126">
        <v>123</v>
      </c>
      <c r="B126">
        <f t="shared" si="6"/>
        <v>15.375</v>
      </c>
      <c r="C126">
        <f t="shared" si="7"/>
        <v>15</v>
      </c>
      <c r="D126">
        <f t="shared" si="8"/>
        <v>16.25</v>
      </c>
      <c r="E126">
        <f t="shared" si="9"/>
        <v>16</v>
      </c>
      <c r="F126">
        <f t="shared" si="10"/>
        <v>7.6875</v>
      </c>
      <c r="G126">
        <f>_xlfn.CEILING.MATH($F126)</f>
        <v>8</v>
      </c>
      <c r="H126">
        <f t="shared" si="11"/>
        <v>-3.90625</v>
      </c>
    </row>
    <row r="127" spans="1:8" x14ac:dyDescent="0.3">
      <c r="A127">
        <v>124</v>
      </c>
      <c r="B127">
        <f t="shared" si="6"/>
        <v>15.5</v>
      </c>
      <c r="C127">
        <f t="shared" si="7"/>
        <v>15</v>
      </c>
      <c r="D127">
        <f t="shared" si="8"/>
        <v>16.375</v>
      </c>
      <c r="E127">
        <f t="shared" si="9"/>
        <v>16</v>
      </c>
      <c r="F127">
        <f t="shared" si="10"/>
        <v>7.75</v>
      </c>
      <c r="G127">
        <f>_xlfn.CEILING.MATH($F127)</f>
        <v>8</v>
      </c>
      <c r="H127">
        <f t="shared" si="11"/>
        <v>-3.125</v>
      </c>
    </row>
    <row r="128" spans="1:8" x14ac:dyDescent="0.3">
      <c r="A128">
        <v>125</v>
      </c>
      <c r="B128">
        <f t="shared" si="6"/>
        <v>15.625</v>
      </c>
      <c r="C128">
        <f t="shared" si="7"/>
        <v>15</v>
      </c>
      <c r="D128">
        <f t="shared" si="8"/>
        <v>16.5</v>
      </c>
      <c r="E128">
        <f t="shared" si="9"/>
        <v>16</v>
      </c>
      <c r="F128">
        <f t="shared" si="10"/>
        <v>7.8125</v>
      </c>
      <c r="G128">
        <f>_xlfn.CEILING.MATH($F128)</f>
        <v>8</v>
      </c>
      <c r="H128">
        <f t="shared" si="11"/>
        <v>-2.34375</v>
      </c>
    </row>
    <row r="129" spans="1:8" x14ac:dyDescent="0.3">
      <c r="A129">
        <v>126</v>
      </c>
      <c r="B129">
        <f t="shared" si="6"/>
        <v>15.75</v>
      </c>
      <c r="C129">
        <f t="shared" si="7"/>
        <v>15</v>
      </c>
      <c r="D129">
        <f t="shared" si="8"/>
        <v>16.625</v>
      </c>
      <c r="E129">
        <f t="shared" si="9"/>
        <v>16</v>
      </c>
      <c r="F129">
        <f t="shared" si="10"/>
        <v>7.875</v>
      </c>
      <c r="G129">
        <f>_xlfn.CEILING.MATH($F129)</f>
        <v>8</v>
      </c>
      <c r="H129">
        <f t="shared" si="11"/>
        <v>-1.5625</v>
      </c>
    </row>
    <row r="130" spans="1:8" x14ac:dyDescent="0.3">
      <c r="A130">
        <v>127</v>
      </c>
      <c r="B130">
        <f t="shared" si="6"/>
        <v>15.875</v>
      </c>
      <c r="C130">
        <f t="shared" si="7"/>
        <v>15</v>
      </c>
      <c r="D130">
        <f t="shared" si="8"/>
        <v>16.75</v>
      </c>
      <c r="E130">
        <f t="shared" si="9"/>
        <v>16</v>
      </c>
      <c r="F130">
        <f t="shared" si="10"/>
        <v>7.9375</v>
      </c>
      <c r="G130">
        <f>_xlfn.CEILING.MATH($F130)</f>
        <v>8</v>
      </c>
      <c r="H130">
        <f t="shared" si="11"/>
        <v>-0.78125</v>
      </c>
    </row>
    <row r="131" spans="1:8" x14ac:dyDescent="0.3">
      <c r="A131">
        <v>128</v>
      </c>
      <c r="B131">
        <f t="shared" si="6"/>
        <v>16</v>
      </c>
      <c r="C131">
        <f t="shared" si="7"/>
        <v>16</v>
      </c>
      <c r="D131">
        <f t="shared" si="8"/>
        <v>16.875</v>
      </c>
      <c r="E131">
        <f t="shared" si="9"/>
        <v>16</v>
      </c>
      <c r="F131">
        <f t="shared" si="10"/>
        <v>8</v>
      </c>
      <c r="G131">
        <f>_xlfn.CEILING.MATH($F131)</f>
        <v>8</v>
      </c>
      <c r="H131">
        <f t="shared" si="11"/>
        <v>0</v>
      </c>
    </row>
    <row r="132" spans="1:8" x14ac:dyDescent="0.3">
      <c r="A132">
        <v>129</v>
      </c>
      <c r="B132">
        <f t="shared" si="6"/>
        <v>16.125</v>
      </c>
      <c r="C132">
        <f t="shared" si="7"/>
        <v>16</v>
      </c>
      <c r="D132">
        <f t="shared" si="8"/>
        <v>17</v>
      </c>
      <c r="E132">
        <f t="shared" si="9"/>
        <v>17</v>
      </c>
      <c r="F132">
        <f t="shared" si="10"/>
        <v>7.5882352941176467</v>
      </c>
      <c r="G132">
        <f>_xlfn.CEILING.MATH($F132)</f>
        <v>8</v>
      </c>
      <c r="H132">
        <f t="shared" si="11"/>
        <v>-5.1470588235294157</v>
      </c>
    </row>
    <row r="133" spans="1:8" x14ac:dyDescent="0.3">
      <c r="A133">
        <v>130</v>
      </c>
      <c r="B133">
        <f t="shared" si="6"/>
        <v>16.25</v>
      </c>
      <c r="C133">
        <f t="shared" si="7"/>
        <v>16</v>
      </c>
      <c r="D133">
        <f t="shared" si="8"/>
        <v>17.125</v>
      </c>
      <c r="E133">
        <f t="shared" si="9"/>
        <v>17</v>
      </c>
      <c r="F133">
        <f t="shared" si="10"/>
        <v>7.6470588235294121</v>
      </c>
      <c r="G133">
        <f>_xlfn.CEILING.MATH($F133)</f>
        <v>8</v>
      </c>
      <c r="H133">
        <f t="shared" si="11"/>
        <v>-4.4117647058823479</v>
      </c>
    </row>
    <row r="134" spans="1:8" x14ac:dyDescent="0.3">
      <c r="A134">
        <v>131</v>
      </c>
      <c r="B134">
        <f t="shared" ref="B134:B197" si="12">$A134/8</f>
        <v>16.375</v>
      </c>
      <c r="C134">
        <f t="shared" ref="C134:C197" si="13">_xlfn.FLOOR.MATH($B134)</f>
        <v>16</v>
      </c>
      <c r="D134">
        <f t="shared" ref="D134:D197" si="14">($A134+7)/8</f>
        <v>17.25</v>
      </c>
      <c r="E134">
        <f t="shared" ref="E134:E197" si="15">_xlfn.FLOOR.MATH($D134)</f>
        <v>17</v>
      </c>
      <c r="F134">
        <f t="shared" ref="F134:F197" si="16">$A134/$E134</f>
        <v>7.7058823529411766</v>
      </c>
      <c r="G134">
        <f>_xlfn.CEILING.MATH($F134)</f>
        <v>8</v>
      </c>
      <c r="H134">
        <f t="shared" ref="H134:H197" si="17">($F134/8-1)*100</f>
        <v>-3.6764705882352922</v>
      </c>
    </row>
    <row r="135" spans="1:8" x14ac:dyDescent="0.3">
      <c r="A135">
        <v>132</v>
      </c>
      <c r="B135">
        <f t="shared" si="12"/>
        <v>16.5</v>
      </c>
      <c r="C135">
        <f t="shared" si="13"/>
        <v>16</v>
      </c>
      <c r="D135">
        <f t="shared" si="14"/>
        <v>17.375</v>
      </c>
      <c r="E135">
        <f t="shared" si="15"/>
        <v>17</v>
      </c>
      <c r="F135">
        <f t="shared" si="16"/>
        <v>7.7647058823529411</v>
      </c>
      <c r="G135">
        <f>_xlfn.CEILING.MATH($F135)</f>
        <v>8</v>
      </c>
      <c r="H135">
        <f t="shared" si="17"/>
        <v>-2.9411764705882359</v>
      </c>
    </row>
    <row r="136" spans="1:8" x14ac:dyDescent="0.3">
      <c r="A136">
        <v>133</v>
      </c>
      <c r="B136">
        <f t="shared" si="12"/>
        <v>16.625</v>
      </c>
      <c r="C136">
        <f t="shared" si="13"/>
        <v>16</v>
      </c>
      <c r="D136">
        <f t="shared" si="14"/>
        <v>17.5</v>
      </c>
      <c r="E136">
        <f t="shared" si="15"/>
        <v>17</v>
      </c>
      <c r="F136">
        <f t="shared" si="16"/>
        <v>7.8235294117647056</v>
      </c>
      <c r="G136">
        <f>_xlfn.CEILING.MATH($F136)</f>
        <v>8</v>
      </c>
      <c r="H136">
        <f t="shared" si="17"/>
        <v>-2.2058823529411797</v>
      </c>
    </row>
    <row r="137" spans="1:8" x14ac:dyDescent="0.3">
      <c r="A137">
        <v>134</v>
      </c>
      <c r="B137">
        <f t="shared" si="12"/>
        <v>16.75</v>
      </c>
      <c r="C137">
        <f t="shared" si="13"/>
        <v>16</v>
      </c>
      <c r="D137">
        <f t="shared" si="14"/>
        <v>17.625</v>
      </c>
      <c r="E137">
        <f t="shared" si="15"/>
        <v>17</v>
      </c>
      <c r="F137">
        <f t="shared" si="16"/>
        <v>7.882352941176471</v>
      </c>
      <c r="G137">
        <f>_xlfn.CEILING.MATH($F137)</f>
        <v>8</v>
      </c>
      <c r="H137">
        <f t="shared" si="17"/>
        <v>-1.4705882352941124</v>
      </c>
    </row>
    <row r="138" spans="1:8" x14ac:dyDescent="0.3">
      <c r="A138">
        <v>135</v>
      </c>
      <c r="B138">
        <f t="shared" si="12"/>
        <v>16.875</v>
      </c>
      <c r="C138">
        <f t="shared" si="13"/>
        <v>16</v>
      </c>
      <c r="D138">
        <f t="shared" si="14"/>
        <v>17.75</v>
      </c>
      <c r="E138">
        <f t="shared" si="15"/>
        <v>17</v>
      </c>
      <c r="F138">
        <f t="shared" si="16"/>
        <v>7.9411764705882355</v>
      </c>
      <c r="G138">
        <f>_xlfn.CEILING.MATH($F138)</f>
        <v>8</v>
      </c>
      <c r="H138">
        <f t="shared" si="17"/>
        <v>-0.73529411764705621</v>
      </c>
    </row>
    <row r="139" spans="1:8" x14ac:dyDescent="0.3">
      <c r="A139">
        <v>136</v>
      </c>
      <c r="B139">
        <f t="shared" si="12"/>
        <v>17</v>
      </c>
      <c r="C139">
        <f t="shared" si="13"/>
        <v>17</v>
      </c>
      <c r="D139">
        <f t="shared" si="14"/>
        <v>17.875</v>
      </c>
      <c r="E139">
        <f t="shared" si="15"/>
        <v>17</v>
      </c>
      <c r="F139">
        <f t="shared" si="16"/>
        <v>8</v>
      </c>
      <c r="G139">
        <f>_xlfn.CEILING.MATH($F139)</f>
        <v>8</v>
      </c>
      <c r="H139">
        <f t="shared" si="17"/>
        <v>0</v>
      </c>
    </row>
    <row r="140" spans="1:8" x14ac:dyDescent="0.3">
      <c r="A140">
        <v>137</v>
      </c>
      <c r="B140">
        <f t="shared" si="12"/>
        <v>17.125</v>
      </c>
      <c r="C140">
        <f t="shared" si="13"/>
        <v>17</v>
      </c>
      <c r="D140">
        <f t="shared" si="14"/>
        <v>18</v>
      </c>
      <c r="E140">
        <f t="shared" si="15"/>
        <v>18</v>
      </c>
      <c r="F140">
        <f t="shared" si="16"/>
        <v>7.6111111111111107</v>
      </c>
      <c r="G140">
        <f>_xlfn.CEILING.MATH($F140)</f>
        <v>8</v>
      </c>
      <c r="H140">
        <f t="shared" si="17"/>
        <v>-4.861111111111116</v>
      </c>
    </row>
    <row r="141" spans="1:8" x14ac:dyDescent="0.3">
      <c r="A141">
        <v>138</v>
      </c>
      <c r="B141">
        <f t="shared" si="12"/>
        <v>17.25</v>
      </c>
      <c r="C141">
        <f t="shared" si="13"/>
        <v>17</v>
      </c>
      <c r="D141">
        <f t="shared" si="14"/>
        <v>18.125</v>
      </c>
      <c r="E141">
        <f t="shared" si="15"/>
        <v>18</v>
      </c>
      <c r="F141">
        <f t="shared" si="16"/>
        <v>7.666666666666667</v>
      </c>
      <c r="G141">
        <f>_xlfn.CEILING.MATH($F141)</f>
        <v>8</v>
      </c>
      <c r="H141">
        <f t="shared" si="17"/>
        <v>-4.1666666666666625</v>
      </c>
    </row>
    <row r="142" spans="1:8" x14ac:dyDescent="0.3">
      <c r="A142">
        <v>139</v>
      </c>
      <c r="B142">
        <f t="shared" si="12"/>
        <v>17.375</v>
      </c>
      <c r="C142">
        <f t="shared" si="13"/>
        <v>17</v>
      </c>
      <c r="D142">
        <f t="shared" si="14"/>
        <v>18.25</v>
      </c>
      <c r="E142">
        <f t="shared" si="15"/>
        <v>18</v>
      </c>
      <c r="F142">
        <f t="shared" si="16"/>
        <v>7.7222222222222223</v>
      </c>
      <c r="G142">
        <f>_xlfn.CEILING.MATH($F142)</f>
        <v>8</v>
      </c>
      <c r="H142">
        <f t="shared" si="17"/>
        <v>-3.472222222222221</v>
      </c>
    </row>
    <row r="143" spans="1:8" x14ac:dyDescent="0.3">
      <c r="A143">
        <v>140</v>
      </c>
      <c r="B143">
        <f t="shared" si="12"/>
        <v>17.5</v>
      </c>
      <c r="C143">
        <f t="shared" si="13"/>
        <v>17</v>
      </c>
      <c r="D143">
        <f t="shared" si="14"/>
        <v>18.375</v>
      </c>
      <c r="E143">
        <f t="shared" si="15"/>
        <v>18</v>
      </c>
      <c r="F143">
        <f t="shared" si="16"/>
        <v>7.7777777777777777</v>
      </c>
      <c r="G143">
        <f>_xlfn.CEILING.MATH($F143)</f>
        <v>8</v>
      </c>
      <c r="H143">
        <f t="shared" si="17"/>
        <v>-2.777777777777779</v>
      </c>
    </row>
    <row r="144" spans="1:8" x14ac:dyDescent="0.3">
      <c r="A144">
        <v>141</v>
      </c>
      <c r="B144">
        <f t="shared" si="12"/>
        <v>17.625</v>
      </c>
      <c r="C144">
        <f t="shared" si="13"/>
        <v>17</v>
      </c>
      <c r="D144">
        <f t="shared" si="14"/>
        <v>18.5</v>
      </c>
      <c r="E144">
        <f t="shared" si="15"/>
        <v>18</v>
      </c>
      <c r="F144">
        <f t="shared" si="16"/>
        <v>7.833333333333333</v>
      </c>
      <c r="G144">
        <f>_xlfn.CEILING.MATH($F144)</f>
        <v>8</v>
      </c>
      <c r="H144">
        <f t="shared" si="17"/>
        <v>-2.083333333333337</v>
      </c>
    </row>
    <row r="145" spans="1:8" x14ac:dyDescent="0.3">
      <c r="A145">
        <v>142</v>
      </c>
      <c r="B145">
        <f t="shared" si="12"/>
        <v>17.75</v>
      </c>
      <c r="C145">
        <f t="shared" si="13"/>
        <v>17</v>
      </c>
      <c r="D145">
        <f t="shared" si="14"/>
        <v>18.625</v>
      </c>
      <c r="E145">
        <f t="shared" si="15"/>
        <v>18</v>
      </c>
      <c r="F145">
        <f t="shared" si="16"/>
        <v>7.8888888888888893</v>
      </c>
      <c r="G145">
        <f>_xlfn.CEILING.MATH($F145)</f>
        <v>8</v>
      </c>
      <c r="H145">
        <f t="shared" si="17"/>
        <v>-1.388888888888884</v>
      </c>
    </row>
    <row r="146" spans="1:8" x14ac:dyDescent="0.3">
      <c r="A146">
        <v>143</v>
      </c>
      <c r="B146">
        <f t="shared" si="12"/>
        <v>17.875</v>
      </c>
      <c r="C146">
        <f t="shared" si="13"/>
        <v>17</v>
      </c>
      <c r="D146">
        <f t="shared" si="14"/>
        <v>18.75</v>
      </c>
      <c r="E146">
        <f t="shared" si="15"/>
        <v>18</v>
      </c>
      <c r="F146">
        <f t="shared" si="16"/>
        <v>7.9444444444444446</v>
      </c>
      <c r="G146">
        <f>_xlfn.CEILING.MATH($F146)</f>
        <v>8</v>
      </c>
      <c r="H146">
        <f t="shared" si="17"/>
        <v>-0.69444444444444198</v>
      </c>
    </row>
    <row r="147" spans="1:8" x14ac:dyDescent="0.3">
      <c r="A147">
        <v>144</v>
      </c>
      <c r="B147">
        <f t="shared" si="12"/>
        <v>18</v>
      </c>
      <c r="C147">
        <f t="shared" si="13"/>
        <v>18</v>
      </c>
      <c r="D147">
        <f t="shared" si="14"/>
        <v>18.875</v>
      </c>
      <c r="E147">
        <f t="shared" si="15"/>
        <v>18</v>
      </c>
      <c r="F147">
        <f t="shared" si="16"/>
        <v>8</v>
      </c>
      <c r="G147">
        <f>_xlfn.CEILING.MATH($F147)</f>
        <v>8</v>
      </c>
      <c r="H147">
        <f t="shared" si="17"/>
        <v>0</v>
      </c>
    </row>
    <row r="148" spans="1:8" x14ac:dyDescent="0.3">
      <c r="A148">
        <v>145</v>
      </c>
      <c r="B148">
        <f t="shared" si="12"/>
        <v>18.125</v>
      </c>
      <c r="C148">
        <f t="shared" si="13"/>
        <v>18</v>
      </c>
      <c r="D148">
        <f t="shared" si="14"/>
        <v>19</v>
      </c>
      <c r="E148">
        <f t="shared" si="15"/>
        <v>19</v>
      </c>
      <c r="F148">
        <f t="shared" si="16"/>
        <v>7.6315789473684212</v>
      </c>
      <c r="G148">
        <f>_xlfn.CEILING.MATH($F148)</f>
        <v>8</v>
      </c>
      <c r="H148">
        <f t="shared" si="17"/>
        <v>-4.6052631578947345</v>
      </c>
    </row>
    <row r="149" spans="1:8" x14ac:dyDescent="0.3">
      <c r="A149">
        <v>146</v>
      </c>
      <c r="B149">
        <f t="shared" si="12"/>
        <v>18.25</v>
      </c>
      <c r="C149">
        <f t="shared" si="13"/>
        <v>18</v>
      </c>
      <c r="D149">
        <f t="shared" si="14"/>
        <v>19.125</v>
      </c>
      <c r="E149">
        <f t="shared" si="15"/>
        <v>19</v>
      </c>
      <c r="F149">
        <f t="shared" si="16"/>
        <v>7.6842105263157894</v>
      </c>
      <c r="G149">
        <f>_xlfn.CEILING.MATH($F149)</f>
        <v>8</v>
      </c>
      <c r="H149">
        <f t="shared" si="17"/>
        <v>-3.9473684210526327</v>
      </c>
    </row>
    <row r="150" spans="1:8" x14ac:dyDescent="0.3">
      <c r="A150">
        <v>147</v>
      </c>
      <c r="B150">
        <f t="shared" si="12"/>
        <v>18.375</v>
      </c>
      <c r="C150">
        <f t="shared" si="13"/>
        <v>18</v>
      </c>
      <c r="D150">
        <f t="shared" si="14"/>
        <v>19.25</v>
      </c>
      <c r="E150">
        <f t="shared" si="15"/>
        <v>19</v>
      </c>
      <c r="F150">
        <f t="shared" si="16"/>
        <v>7.7368421052631575</v>
      </c>
      <c r="G150">
        <f>_xlfn.CEILING.MATH($F150)</f>
        <v>8</v>
      </c>
      <c r="H150">
        <f t="shared" si="17"/>
        <v>-3.289473684210531</v>
      </c>
    </row>
    <row r="151" spans="1:8" x14ac:dyDescent="0.3">
      <c r="A151">
        <v>148</v>
      </c>
      <c r="B151">
        <f t="shared" si="12"/>
        <v>18.5</v>
      </c>
      <c r="C151">
        <f t="shared" si="13"/>
        <v>18</v>
      </c>
      <c r="D151">
        <f t="shared" si="14"/>
        <v>19.375</v>
      </c>
      <c r="E151">
        <f t="shared" si="15"/>
        <v>19</v>
      </c>
      <c r="F151">
        <f t="shared" si="16"/>
        <v>7.7894736842105265</v>
      </c>
      <c r="G151">
        <f>_xlfn.CEILING.MATH($F151)</f>
        <v>8</v>
      </c>
      <c r="H151">
        <f t="shared" si="17"/>
        <v>-2.6315789473684181</v>
      </c>
    </row>
    <row r="152" spans="1:8" x14ac:dyDescent="0.3">
      <c r="A152">
        <v>149</v>
      </c>
      <c r="B152">
        <f t="shared" si="12"/>
        <v>18.625</v>
      </c>
      <c r="C152">
        <f t="shared" si="13"/>
        <v>18</v>
      </c>
      <c r="D152">
        <f t="shared" si="14"/>
        <v>19.5</v>
      </c>
      <c r="E152">
        <f t="shared" si="15"/>
        <v>19</v>
      </c>
      <c r="F152">
        <f t="shared" si="16"/>
        <v>7.8421052631578947</v>
      </c>
      <c r="G152">
        <f>_xlfn.CEILING.MATH($F152)</f>
        <v>8</v>
      </c>
      <c r="H152">
        <f t="shared" si="17"/>
        <v>-1.9736842105263164</v>
      </c>
    </row>
    <row r="153" spans="1:8" x14ac:dyDescent="0.3">
      <c r="A153">
        <v>150</v>
      </c>
      <c r="B153">
        <f t="shared" si="12"/>
        <v>18.75</v>
      </c>
      <c r="C153">
        <f t="shared" si="13"/>
        <v>18</v>
      </c>
      <c r="D153">
        <f t="shared" si="14"/>
        <v>19.625</v>
      </c>
      <c r="E153">
        <f t="shared" si="15"/>
        <v>19</v>
      </c>
      <c r="F153">
        <f t="shared" si="16"/>
        <v>7.8947368421052628</v>
      </c>
      <c r="G153">
        <f>_xlfn.CEILING.MATH($F153)</f>
        <v>8</v>
      </c>
      <c r="H153">
        <f t="shared" si="17"/>
        <v>-1.3157894736842146</v>
      </c>
    </row>
    <row r="154" spans="1:8" x14ac:dyDescent="0.3">
      <c r="A154">
        <v>151</v>
      </c>
      <c r="B154">
        <f t="shared" si="12"/>
        <v>18.875</v>
      </c>
      <c r="C154">
        <f t="shared" si="13"/>
        <v>18</v>
      </c>
      <c r="D154">
        <f t="shared" si="14"/>
        <v>19.75</v>
      </c>
      <c r="E154">
        <f t="shared" si="15"/>
        <v>19</v>
      </c>
      <c r="F154">
        <f t="shared" si="16"/>
        <v>7.9473684210526319</v>
      </c>
      <c r="G154">
        <f>_xlfn.CEILING.MATH($F154)</f>
        <v>8</v>
      </c>
      <c r="H154">
        <f t="shared" si="17"/>
        <v>-0.65789473684210176</v>
      </c>
    </row>
    <row r="155" spans="1:8" x14ac:dyDescent="0.3">
      <c r="A155">
        <v>152</v>
      </c>
      <c r="B155">
        <f t="shared" si="12"/>
        <v>19</v>
      </c>
      <c r="C155">
        <f t="shared" si="13"/>
        <v>19</v>
      </c>
      <c r="D155">
        <f t="shared" si="14"/>
        <v>19.875</v>
      </c>
      <c r="E155">
        <f t="shared" si="15"/>
        <v>19</v>
      </c>
      <c r="F155">
        <f t="shared" si="16"/>
        <v>8</v>
      </c>
      <c r="G155">
        <f>_xlfn.CEILING.MATH($F155)</f>
        <v>8</v>
      </c>
      <c r="H155">
        <f t="shared" si="17"/>
        <v>0</v>
      </c>
    </row>
    <row r="156" spans="1:8" x14ac:dyDescent="0.3">
      <c r="A156">
        <v>153</v>
      </c>
      <c r="B156">
        <f t="shared" si="12"/>
        <v>19.125</v>
      </c>
      <c r="C156">
        <f t="shared" si="13"/>
        <v>19</v>
      </c>
      <c r="D156">
        <f t="shared" si="14"/>
        <v>20</v>
      </c>
      <c r="E156">
        <f t="shared" si="15"/>
        <v>20</v>
      </c>
      <c r="F156">
        <f t="shared" si="16"/>
        <v>7.65</v>
      </c>
      <c r="G156">
        <f>_xlfn.CEILING.MATH($F156)</f>
        <v>8</v>
      </c>
      <c r="H156">
        <f t="shared" si="17"/>
        <v>-4.3749999999999956</v>
      </c>
    </row>
    <row r="157" spans="1:8" x14ac:dyDescent="0.3">
      <c r="A157">
        <v>154</v>
      </c>
      <c r="B157">
        <f t="shared" si="12"/>
        <v>19.25</v>
      </c>
      <c r="C157">
        <f t="shared" si="13"/>
        <v>19</v>
      </c>
      <c r="D157">
        <f t="shared" si="14"/>
        <v>20.125</v>
      </c>
      <c r="E157">
        <f t="shared" si="15"/>
        <v>20</v>
      </c>
      <c r="F157">
        <f t="shared" si="16"/>
        <v>7.7</v>
      </c>
      <c r="G157">
        <f>_xlfn.CEILING.MATH($F157)</f>
        <v>8</v>
      </c>
      <c r="H157">
        <f t="shared" si="17"/>
        <v>-3.7499999999999978</v>
      </c>
    </row>
    <row r="158" spans="1:8" x14ac:dyDescent="0.3">
      <c r="A158">
        <v>155</v>
      </c>
      <c r="B158">
        <f t="shared" si="12"/>
        <v>19.375</v>
      </c>
      <c r="C158">
        <f t="shared" si="13"/>
        <v>19</v>
      </c>
      <c r="D158">
        <f t="shared" si="14"/>
        <v>20.25</v>
      </c>
      <c r="E158">
        <f t="shared" si="15"/>
        <v>20</v>
      </c>
      <c r="F158">
        <f t="shared" si="16"/>
        <v>7.75</v>
      </c>
      <c r="G158">
        <f>_xlfn.CEILING.MATH($F158)</f>
        <v>8</v>
      </c>
      <c r="H158">
        <f t="shared" si="17"/>
        <v>-3.125</v>
      </c>
    </row>
    <row r="159" spans="1:8" x14ac:dyDescent="0.3">
      <c r="A159">
        <v>156</v>
      </c>
      <c r="B159">
        <f t="shared" si="12"/>
        <v>19.5</v>
      </c>
      <c r="C159">
        <f t="shared" si="13"/>
        <v>19</v>
      </c>
      <c r="D159">
        <f t="shared" si="14"/>
        <v>20.375</v>
      </c>
      <c r="E159">
        <f t="shared" si="15"/>
        <v>20</v>
      </c>
      <c r="F159">
        <f t="shared" si="16"/>
        <v>7.8</v>
      </c>
      <c r="G159">
        <f>_xlfn.CEILING.MATH($F159)</f>
        <v>8</v>
      </c>
      <c r="H159">
        <f t="shared" si="17"/>
        <v>-2.5000000000000022</v>
      </c>
    </row>
    <row r="160" spans="1:8" x14ac:dyDescent="0.3">
      <c r="A160">
        <v>157</v>
      </c>
      <c r="B160">
        <f t="shared" si="12"/>
        <v>19.625</v>
      </c>
      <c r="C160">
        <f t="shared" si="13"/>
        <v>19</v>
      </c>
      <c r="D160">
        <f t="shared" si="14"/>
        <v>20.5</v>
      </c>
      <c r="E160">
        <f t="shared" si="15"/>
        <v>20</v>
      </c>
      <c r="F160">
        <f t="shared" si="16"/>
        <v>7.85</v>
      </c>
      <c r="G160">
        <f>_xlfn.CEILING.MATH($F160)</f>
        <v>8</v>
      </c>
      <c r="H160">
        <f t="shared" si="17"/>
        <v>-1.8750000000000044</v>
      </c>
    </row>
    <row r="161" spans="1:8" x14ac:dyDescent="0.3">
      <c r="A161">
        <v>158</v>
      </c>
      <c r="B161">
        <f t="shared" si="12"/>
        <v>19.75</v>
      </c>
      <c r="C161">
        <f t="shared" si="13"/>
        <v>19</v>
      </c>
      <c r="D161">
        <f t="shared" si="14"/>
        <v>20.625</v>
      </c>
      <c r="E161">
        <f t="shared" si="15"/>
        <v>20</v>
      </c>
      <c r="F161">
        <f t="shared" si="16"/>
        <v>7.9</v>
      </c>
      <c r="G161">
        <f>_xlfn.CEILING.MATH($F161)</f>
        <v>8</v>
      </c>
      <c r="H161">
        <f t="shared" si="17"/>
        <v>-1.2499999999999956</v>
      </c>
    </row>
    <row r="162" spans="1:8" x14ac:dyDescent="0.3">
      <c r="A162">
        <v>159</v>
      </c>
      <c r="B162">
        <f t="shared" si="12"/>
        <v>19.875</v>
      </c>
      <c r="C162">
        <f t="shared" si="13"/>
        <v>19</v>
      </c>
      <c r="D162">
        <f t="shared" si="14"/>
        <v>20.75</v>
      </c>
      <c r="E162">
        <f t="shared" si="15"/>
        <v>20</v>
      </c>
      <c r="F162">
        <f t="shared" si="16"/>
        <v>7.95</v>
      </c>
      <c r="G162">
        <f>_xlfn.CEILING.MATH($F162)</f>
        <v>8</v>
      </c>
      <c r="H162">
        <f t="shared" si="17"/>
        <v>-0.62499999999999778</v>
      </c>
    </row>
    <row r="163" spans="1:8" x14ac:dyDescent="0.3">
      <c r="A163">
        <v>160</v>
      </c>
      <c r="B163">
        <f t="shared" si="12"/>
        <v>20</v>
      </c>
      <c r="C163">
        <f t="shared" si="13"/>
        <v>20</v>
      </c>
      <c r="D163">
        <f t="shared" si="14"/>
        <v>20.875</v>
      </c>
      <c r="E163">
        <f t="shared" si="15"/>
        <v>20</v>
      </c>
      <c r="F163">
        <f t="shared" si="16"/>
        <v>8</v>
      </c>
      <c r="G163">
        <f>_xlfn.CEILING.MATH($F163)</f>
        <v>8</v>
      </c>
      <c r="H163">
        <f t="shared" si="17"/>
        <v>0</v>
      </c>
    </row>
    <row r="164" spans="1:8" x14ac:dyDescent="0.3">
      <c r="A164">
        <v>161</v>
      </c>
      <c r="B164">
        <f t="shared" si="12"/>
        <v>20.125</v>
      </c>
      <c r="C164">
        <f t="shared" si="13"/>
        <v>20</v>
      </c>
      <c r="D164">
        <f t="shared" si="14"/>
        <v>21</v>
      </c>
      <c r="E164">
        <f t="shared" si="15"/>
        <v>21</v>
      </c>
      <c r="F164">
        <f t="shared" si="16"/>
        <v>7.666666666666667</v>
      </c>
      <c r="G164">
        <f>_xlfn.CEILING.MATH($F164)</f>
        <v>8</v>
      </c>
      <c r="H164">
        <f t="shared" si="17"/>
        <v>-4.1666666666666625</v>
      </c>
    </row>
    <row r="165" spans="1:8" x14ac:dyDescent="0.3">
      <c r="A165">
        <v>162</v>
      </c>
      <c r="B165">
        <f t="shared" si="12"/>
        <v>20.25</v>
      </c>
      <c r="C165">
        <f t="shared" si="13"/>
        <v>20</v>
      </c>
      <c r="D165">
        <f t="shared" si="14"/>
        <v>21.125</v>
      </c>
      <c r="E165">
        <f t="shared" si="15"/>
        <v>21</v>
      </c>
      <c r="F165">
        <f t="shared" si="16"/>
        <v>7.7142857142857144</v>
      </c>
      <c r="G165">
        <f>_xlfn.CEILING.MATH($F165)</f>
        <v>8</v>
      </c>
      <c r="H165">
        <f t="shared" si="17"/>
        <v>-3.5714285714285698</v>
      </c>
    </row>
    <row r="166" spans="1:8" x14ac:dyDescent="0.3">
      <c r="A166">
        <v>163</v>
      </c>
      <c r="B166">
        <f t="shared" si="12"/>
        <v>20.375</v>
      </c>
      <c r="C166">
        <f t="shared" si="13"/>
        <v>20</v>
      </c>
      <c r="D166">
        <f t="shared" si="14"/>
        <v>21.25</v>
      </c>
      <c r="E166">
        <f t="shared" si="15"/>
        <v>21</v>
      </c>
      <c r="F166">
        <f t="shared" si="16"/>
        <v>7.7619047619047619</v>
      </c>
      <c r="G166">
        <f>_xlfn.CEILING.MATH($F166)</f>
        <v>8</v>
      </c>
      <c r="H166">
        <f t="shared" si="17"/>
        <v>-2.9761904761904767</v>
      </c>
    </row>
    <row r="167" spans="1:8" x14ac:dyDescent="0.3">
      <c r="A167">
        <v>164</v>
      </c>
      <c r="B167">
        <f t="shared" si="12"/>
        <v>20.5</v>
      </c>
      <c r="C167">
        <f t="shared" si="13"/>
        <v>20</v>
      </c>
      <c r="D167">
        <f t="shared" si="14"/>
        <v>21.375</v>
      </c>
      <c r="E167">
        <f t="shared" si="15"/>
        <v>21</v>
      </c>
      <c r="F167">
        <f t="shared" si="16"/>
        <v>7.8095238095238093</v>
      </c>
      <c r="G167">
        <f>_xlfn.CEILING.MATH($F167)</f>
        <v>8</v>
      </c>
      <c r="H167">
        <f t="shared" si="17"/>
        <v>-2.3809523809523836</v>
      </c>
    </row>
    <row r="168" spans="1:8" x14ac:dyDescent="0.3">
      <c r="A168">
        <v>165</v>
      </c>
      <c r="B168">
        <f t="shared" si="12"/>
        <v>20.625</v>
      </c>
      <c r="C168">
        <f t="shared" si="13"/>
        <v>20</v>
      </c>
      <c r="D168">
        <f t="shared" si="14"/>
        <v>21.5</v>
      </c>
      <c r="E168">
        <f t="shared" si="15"/>
        <v>21</v>
      </c>
      <c r="F168">
        <f t="shared" si="16"/>
        <v>7.8571428571428568</v>
      </c>
      <c r="G168">
        <f>_xlfn.CEILING.MATH($F168)</f>
        <v>8</v>
      </c>
      <c r="H168">
        <f t="shared" si="17"/>
        <v>-1.7857142857142905</v>
      </c>
    </row>
    <row r="169" spans="1:8" x14ac:dyDescent="0.3">
      <c r="A169">
        <v>166</v>
      </c>
      <c r="B169">
        <f t="shared" si="12"/>
        <v>20.75</v>
      </c>
      <c r="C169">
        <f t="shared" si="13"/>
        <v>20</v>
      </c>
      <c r="D169">
        <f t="shared" si="14"/>
        <v>21.625</v>
      </c>
      <c r="E169">
        <f t="shared" si="15"/>
        <v>21</v>
      </c>
      <c r="F169">
        <f t="shared" si="16"/>
        <v>7.9047619047619051</v>
      </c>
      <c r="G169">
        <f>_xlfn.CEILING.MATH($F169)</f>
        <v>8</v>
      </c>
      <c r="H169">
        <f t="shared" si="17"/>
        <v>-1.1904761904761862</v>
      </c>
    </row>
    <row r="170" spans="1:8" x14ac:dyDescent="0.3">
      <c r="A170">
        <v>167</v>
      </c>
      <c r="B170">
        <f t="shared" si="12"/>
        <v>20.875</v>
      </c>
      <c r="C170">
        <f t="shared" si="13"/>
        <v>20</v>
      </c>
      <c r="D170">
        <f t="shared" si="14"/>
        <v>21.75</v>
      </c>
      <c r="E170">
        <f t="shared" si="15"/>
        <v>21</v>
      </c>
      <c r="F170">
        <f t="shared" si="16"/>
        <v>7.9523809523809526</v>
      </c>
      <c r="G170">
        <f>_xlfn.CEILING.MATH($F170)</f>
        <v>8</v>
      </c>
      <c r="H170">
        <f t="shared" si="17"/>
        <v>-0.59523809523809312</v>
      </c>
    </row>
    <row r="171" spans="1:8" x14ac:dyDescent="0.3">
      <c r="A171">
        <v>168</v>
      </c>
      <c r="B171">
        <f t="shared" si="12"/>
        <v>21</v>
      </c>
      <c r="C171">
        <f t="shared" si="13"/>
        <v>21</v>
      </c>
      <c r="D171">
        <f t="shared" si="14"/>
        <v>21.875</v>
      </c>
      <c r="E171">
        <f t="shared" si="15"/>
        <v>21</v>
      </c>
      <c r="F171">
        <f t="shared" si="16"/>
        <v>8</v>
      </c>
      <c r="G171">
        <f>_xlfn.CEILING.MATH($F171)</f>
        <v>8</v>
      </c>
      <c r="H171">
        <f t="shared" si="17"/>
        <v>0</v>
      </c>
    </row>
    <row r="172" spans="1:8" x14ac:dyDescent="0.3">
      <c r="A172">
        <v>169</v>
      </c>
      <c r="B172">
        <f t="shared" si="12"/>
        <v>21.125</v>
      </c>
      <c r="C172">
        <f t="shared" si="13"/>
        <v>21</v>
      </c>
      <c r="D172">
        <f t="shared" si="14"/>
        <v>22</v>
      </c>
      <c r="E172">
        <f t="shared" si="15"/>
        <v>22</v>
      </c>
      <c r="F172">
        <f t="shared" si="16"/>
        <v>7.6818181818181817</v>
      </c>
      <c r="G172">
        <f>_xlfn.CEILING.MATH($F172)</f>
        <v>8</v>
      </c>
      <c r="H172">
        <f t="shared" si="17"/>
        <v>-3.9772727272727293</v>
      </c>
    </row>
    <row r="173" spans="1:8" x14ac:dyDescent="0.3">
      <c r="A173">
        <v>170</v>
      </c>
      <c r="B173">
        <f t="shared" si="12"/>
        <v>21.25</v>
      </c>
      <c r="C173">
        <f t="shared" si="13"/>
        <v>21</v>
      </c>
      <c r="D173">
        <f t="shared" si="14"/>
        <v>22.125</v>
      </c>
      <c r="E173">
        <f t="shared" si="15"/>
        <v>22</v>
      </c>
      <c r="F173">
        <f t="shared" si="16"/>
        <v>7.7272727272727275</v>
      </c>
      <c r="G173">
        <f>_xlfn.CEILING.MATH($F173)</f>
        <v>8</v>
      </c>
      <c r="H173">
        <f t="shared" si="17"/>
        <v>-3.4090909090909061</v>
      </c>
    </row>
    <row r="174" spans="1:8" x14ac:dyDescent="0.3">
      <c r="A174">
        <v>171</v>
      </c>
      <c r="B174">
        <f t="shared" si="12"/>
        <v>21.375</v>
      </c>
      <c r="C174">
        <f t="shared" si="13"/>
        <v>21</v>
      </c>
      <c r="D174">
        <f t="shared" si="14"/>
        <v>22.25</v>
      </c>
      <c r="E174">
        <f t="shared" si="15"/>
        <v>22</v>
      </c>
      <c r="F174">
        <f t="shared" si="16"/>
        <v>7.7727272727272725</v>
      </c>
      <c r="G174">
        <f>_xlfn.CEILING.MATH($F174)</f>
        <v>8</v>
      </c>
      <c r="H174">
        <f t="shared" si="17"/>
        <v>-2.8409090909090939</v>
      </c>
    </row>
    <row r="175" spans="1:8" x14ac:dyDescent="0.3">
      <c r="A175">
        <v>172</v>
      </c>
      <c r="B175">
        <f t="shared" si="12"/>
        <v>21.5</v>
      </c>
      <c r="C175">
        <f t="shared" si="13"/>
        <v>21</v>
      </c>
      <c r="D175">
        <f t="shared" si="14"/>
        <v>22.375</v>
      </c>
      <c r="E175">
        <f t="shared" si="15"/>
        <v>22</v>
      </c>
      <c r="F175">
        <f t="shared" si="16"/>
        <v>7.8181818181818183</v>
      </c>
      <c r="G175">
        <f>_xlfn.CEILING.MATH($F175)</f>
        <v>8</v>
      </c>
      <c r="H175">
        <f t="shared" si="17"/>
        <v>-2.2727272727272707</v>
      </c>
    </row>
    <row r="176" spans="1:8" x14ac:dyDescent="0.3">
      <c r="A176">
        <v>173</v>
      </c>
      <c r="B176">
        <f t="shared" si="12"/>
        <v>21.625</v>
      </c>
      <c r="C176">
        <f t="shared" si="13"/>
        <v>21</v>
      </c>
      <c r="D176">
        <f t="shared" si="14"/>
        <v>22.5</v>
      </c>
      <c r="E176">
        <f t="shared" si="15"/>
        <v>22</v>
      </c>
      <c r="F176">
        <f t="shared" si="16"/>
        <v>7.8636363636363633</v>
      </c>
      <c r="G176">
        <f>_xlfn.CEILING.MATH($F176)</f>
        <v>8</v>
      </c>
      <c r="H176">
        <f t="shared" si="17"/>
        <v>-1.7045454545454586</v>
      </c>
    </row>
    <row r="177" spans="1:8" x14ac:dyDescent="0.3">
      <c r="A177">
        <v>174</v>
      </c>
      <c r="B177">
        <f t="shared" si="12"/>
        <v>21.75</v>
      </c>
      <c r="C177">
        <f t="shared" si="13"/>
        <v>21</v>
      </c>
      <c r="D177">
        <f t="shared" si="14"/>
        <v>22.625</v>
      </c>
      <c r="E177">
        <f t="shared" si="15"/>
        <v>22</v>
      </c>
      <c r="F177">
        <f t="shared" si="16"/>
        <v>7.9090909090909092</v>
      </c>
      <c r="G177">
        <f>_xlfn.CEILING.MATH($F177)</f>
        <v>8</v>
      </c>
      <c r="H177">
        <f t="shared" si="17"/>
        <v>-1.1363636363636354</v>
      </c>
    </row>
    <row r="178" spans="1:8" x14ac:dyDescent="0.3">
      <c r="A178">
        <v>175</v>
      </c>
      <c r="B178">
        <f t="shared" si="12"/>
        <v>21.875</v>
      </c>
      <c r="C178">
        <f t="shared" si="13"/>
        <v>21</v>
      </c>
      <c r="D178">
        <f t="shared" si="14"/>
        <v>22.75</v>
      </c>
      <c r="E178">
        <f t="shared" si="15"/>
        <v>22</v>
      </c>
      <c r="F178">
        <f t="shared" si="16"/>
        <v>7.9545454545454541</v>
      </c>
      <c r="G178">
        <f>_xlfn.CEILING.MATH($F178)</f>
        <v>8</v>
      </c>
      <c r="H178">
        <f t="shared" si="17"/>
        <v>-0.56818181818182323</v>
      </c>
    </row>
    <row r="179" spans="1:8" x14ac:dyDescent="0.3">
      <c r="A179">
        <v>176</v>
      </c>
      <c r="B179">
        <f t="shared" si="12"/>
        <v>22</v>
      </c>
      <c r="C179">
        <f t="shared" si="13"/>
        <v>22</v>
      </c>
      <c r="D179">
        <f t="shared" si="14"/>
        <v>22.875</v>
      </c>
      <c r="E179">
        <f t="shared" si="15"/>
        <v>22</v>
      </c>
      <c r="F179">
        <f t="shared" si="16"/>
        <v>8</v>
      </c>
      <c r="G179">
        <f>_xlfn.CEILING.MATH($F179)</f>
        <v>8</v>
      </c>
      <c r="H179">
        <f t="shared" si="17"/>
        <v>0</v>
      </c>
    </row>
    <row r="180" spans="1:8" x14ac:dyDescent="0.3">
      <c r="A180">
        <v>177</v>
      </c>
      <c r="B180">
        <f t="shared" si="12"/>
        <v>22.125</v>
      </c>
      <c r="C180">
        <f t="shared" si="13"/>
        <v>22</v>
      </c>
      <c r="D180">
        <f t="shared" si="14"/>
        <v>23</v>
      </c>
      <c r="E180">
        <f t="shared" si="15"/>
        <v>23</v>
      </c>
      <c r="F180">
        <f t="shared" si="16"/>
        <v>7.6956521739130439</v>
      </c>
      <c r="G180">
        <f>_xlfn.CEILING.MATH($F180)</f>
        <v>8</v>
      </c>
      <c r="H180">
        <f t="shared" si="17"/>
        <v>-3.8043478260869512</v>
      </c>
    </row>
    <row r="181" spans="1:8" x14ac:dyDescent="0.3">
      <c r="A181">
        <v>178</v>
      </c>
      <c r="B181">
        <f t="shared" si="12"/>
        <v>22.25</v>
      </c>
      <c r="C181">
        <f t="shared" si="13"/>
        <v>22</v>
      </c>
      <c r="D181">
        <f t="shared" si="14"/>
        <v>23.125</v>
      </c>
      <c r="E181">
        <f t="shared" si="15"/>
        <v>23</v>
      </c>
      <c r="F181">
        <f t="shared" si="16"/>
        <v>7.7391304347826084</v>
      </c>
      <c r="G181">
        <f>_xlfn.CEILING.MATH($F181)</f>
        <v>8</v>
      </c>
      <c r="H181">
        <f t="shared" si="17"/>
        <v>-3.2608695652173947</v>
      </c>
    </row>
    <row r="182" spans="1:8" x14ac:dyDescent="0.3">
      <c r="A182">
        <v>179</v>
      </c>
      <c r="B182">
        <f t="shared" si="12"/>
        <v>22.375</v>
      </c>
      <c r="C182">
        <f t="shared" si="13"/>
        <v>22</v>
      </c>
      <c r="D182">
        <f t="shared" si="14"/>
        <v>23.25</v>
      </c>
      <c r="E182">
        <f t="shared" si="15"/>
        <v>23</v>
      </c>
      <c r="F182">
        <f t="shared" si="16"/>
        <v>7.7826086956521738</v>
      </c>
      <c r="G182">
        <f>_xlfn.CEILING.MATH($F182)</f>
        <v>8</v>
      </c>
      <c r="H182">
        <f t="shared" si="17"/>
        <v>-2.7173913043478271</v>
      </c>
    </row>
    <row r="183" spans="1:8" x14ac:dyDescent="0.3">
      <c r="A183">
        <v>180</v>
      </c>
      <c r="B183">
        <f t="shared" si="12"/>
        <v>22.5</v>
      </c>
      <c r="C183">
        <f t="shared" si="13"/>
        <v>22</v>
      </c>
      <c r="D183">
        <f t="shared" si="14"/>
        <v>23.375</v>
      </c>
      <c r="E183">
        <f t="shared" si="15"/>
        <v>23</v>
      </c>
      <c r="F183">
        <f t="shared" si="16"/>
        <v>7.8260869565217392</v>
      </c>
      <c r="G183">
        <f>_xlfn.CEILING.MATH($F183)</f>
        <v>8</v>
      </c>
      <c r="H183">
        <f t="shared" si="17"/>
        <v>-2.1739130434782594</v>
      </c>
    </row>
    <row r="184" spans="1:8" x14ac:dyDescent="0.3">
      <c r="A184">
        <v>181</v>
      </c>
      <c r="B184">
        <f t="shared" si="12"/>
        <v>22.625</v>
      </c>
      <c r="C184">
        <f t="shared" si="13"/>
        <v>22</v>
      </c>
      <c r="D184">
        <f t="shared" si="14"/>
        <v>23.5</v>
      </c>
      <c r="E184">
        <f t="shared" si="15"/>
        <v>23</v>
      </c>
      <c r="F184">
        <f t="shared" si="16"/>
        <v>7.8695652173913047</v>
      </c>
      <c r="G184">
        <f>_xlfn.CEILING.MATH($F184)</f>
        <v>8</v>
      </c>
      <c r="H184">
        <f t="shared" si="17"/>
        <v>-1.6304347826086918</v>
      </c>
    </row>
    <row r="185" spans="1:8" x14ac:dyDescent="0.3">
      <c r="A185">
        <v>182</v>
      </c>
      <c r="B185">
        <f t="shared" si="12"/>
        <v>22.75</v>
      </c>
      <c r="C185">
        <f t="shared" si="13"/>
        <v>22</v>
      </c>
      <c r="D185">
        <f t="shared" si="14"/>
        <v>23.625</v>
      </c>
      <c r="E185">
        <f t="shared" si="15"/>
        <v>23</v>
      </c>
      <c r="F185">
        <f t="shared" si="16"/>
        <v>7.9130434782608692</v>
      </c>
      <c r="G185">
        <f>_xlfn.CEILING.MATH($F185)</f>
        <v>8</v>
      </c>
      <c r="H185">
        <f t="shared" si="17"/>
        <v>-1.0869565217391353</v>
      </c>
    </row>
    <row r="186" spans="1:8" x14ac:dyDescent="0.3">
      <c r="A186">
        <v>183</v>
      </c>
      <c r="B186">
        <f t="shared" si="12"/>
        <v>22.875</v>
      </c>
      <c r="C186">
        <f t="shared" si="13"/>
        <v>22</v>
      </c>
      <c r="D186">
        <f t="shared" si="14"/>
        <v>23.75</v>
      </c>
      <c r="E186">
        <f t="shared" si="15"/>
        <v>23</v>
      </c>
      <c r="F186">
        <f t="shared" si="16"/>
        <v>7.9565217391304346</v>
      </c>
      <c r="G186">
        <f>_xlfn.CEILING.MATH($F186)</f>
        <v>8</v>
      </c>
      <c r="H186">
        <f t="shared" si="17"/>
        <v>-0.54347826086956763</v>
      </c>
    </row>
    <row r="187" spans="1:8" x14ac:dyDescent="0.3">
      <c r="A187">
        <v>184</v>
      </c>
      <c r="B187">
        <f t="shared" si="12"/>
        <v>23</v>
      </c>
      <c r="C187">
        <f t="shared" si="13"/>
        <v>23</v>
      </c>
      <c r="D187">
        <f t="shared" si="14"/>
        <v>23.875</v>
      </c>
      <c r="E187">
        <f t="shared" si="15"/>
        <v>23</v>
      </c>
      <c r="F187">
        <f t="shared" si="16"/>
        <v>8</v>
      </c>
      <c r="G187">
        <f>_xlfn.CEILING.MATH($F187)</f>
        <v>8</v>
      </c>
      <c r="H187">
        <f t="shared" si="17"/>
        <v>0</v>
      </c>
    </row>
    <row r="188" spans="1:8" x14ac:dyDescent="0.3">
      <c r="A188">
        <v>185</v>
      </c>
      <c r="B188">
        <f t="shared" si="12"/>
        <v>23.125</v>
      </c>
      <c r="C188">
        <f t="shared" si="13"/>
        <v>23</v>
      </c>
      <c r="D188">
        <f t="shared" si="14"/>
        <v>24</v>
      </c>
      <c r="E188">
        <f t="shared" si="15"/>
        <v>24</v>
      </c>
      <c r="F188">
        <f t="shared" si="16"/>
        <v>7.708333333333333</v>
      </c>
      <c r="G188">
        <f>_xlfn.CEILING.MATH($F188)</f>
        <v>8</v>
      </c>
      <c r="H188">
        <f t="shared" si="17"/>
        <v>-3.645833333333337</v>
      </c>
    </row>
    <row r="189" spans="1:8" x14ac:dyDescent="0.3">
      <c r="A189">
        <v>186</v>
      </c>
      <c r="B189">
        <f t="shared" si="12"/>
        <v>23.25</v>
      </c>
      <c r="C189">
        <f t="shared" si="13"/>
        <v>23</v>
      </c>
      <c r="D189">
        <f t="shared" si="14"/>
        <v>24.125</v>
      </c>
      <c r="E189">
        <f t="shared" si="15"/>
        <v>24</v>
      </c>
      <c r="F189">
        <f t="shared" si="16"/>
        <v>7.75</v>
      </c>
      <c r="G189">
        <f>_xlfn.CEILING.MATH($F189)</f>
        <v>8</v>
      </c>
      <c r="H189">
        <f t="shared" si="17"/>
        <v>-3.125</v>
      </c>
    </row>
    <row r="190" spans="1:8" x14ac:dyDescent="0.3">
      <c r="A190">
        <v>187</v>
      </c>
      <c r="B190">
        <f t="shared" si="12"/>
        <v>23.375</v>
      </c>
      <c r="C190">
        <f t="shared" si="13"/>
        <v>23</v>
      </c>
      <c r="D190">
        <f t="shared" si="14"/>
        <v>24.25</v>
      </c>
      <c r="E190">
        <f t="shared" si="15"/>
        <v>24</v>
      </c>
      <c r="F190">
        <f t="shared" si="16"/>
        <v>7.791666666666667</v>
      </c>
      <c r="G190">
        <f>_xlfn.CEILING.MATH($F190)</f>
        <v>8</v>
      </c>
      <c r="H190">
        <f t="shared" si="17"/>
        <v>-2.604166666666663</v>
      </c>
    </row>
    <row r="191" spans="1:8" x14ac:dyDescent="0.3">
      <c r="A191">
        <v>188</v>
      </c>
      <c r="B191">
        <f t="shared" si="12"/>
        <v>23.5</v>
      </c>
      <c r="C191">
        <f t="shared" si="13"/>
        <v>23</v>
      </c>
      <c r="D191">
        <f t="shared" si="14"/>
        <v>24.375</v>
      </c>
      <c r="E191">
        <f t="shared" si="15"/>
        <v>24</v>
      </c>
      <c r="F191">
        <f t="shared" si="16"/>
        <v>7.833333333333333</v>
      </c>
      <c r="G191">
        <f>_xlfn.CEILING.MATH($F191)</f>
        <v>8</v>
      </c>
      <c r="H191">
        <f t="shared" si="17"/>
        <v>-2.083333333333337</v>
      </c>
    </row>
    <row r="192" spans="1:8" x14ac:dyDescent="0.3">
      <c r="A192">
        <v>189</v>
      </c>
      <c r="B192">
        <f t="shared" si="12"/>
        <v>23.625</v>
      </c>
      <c r="C192">
        <f t="shared" si="13"/>
        <v>23</v>
      </c>
      <c r="D192">
        <f t="shared" si="14"/>
        <v>24.5</v>
      </c>
      <c r="E192">
        <f t="shared" si="15"/>
        <v>24</v>
      </c>
      <c r="F192">
        <f t="shared" si="16"/>
        <v>7.875</v>
      </c>
      <c r="G192">
        <f>_xlfn.CEILING.MATH($F192)</f>
        <v>8</v>
      </c>
      <c r="H192">
        <f t="shared" si="17"/>
        <v>-1.5625</v>
      </c>
    </row>
    <row r="193" spans="1:8" x14ac:dyDescent="0.3">
      <c r="A193">
        <v>190</v>
      </c>
      <c r="B193">
        <f t="shared" si="12"/>
        <v>23.75</v>
      </c>
      <c r="C193">
        <f t="shared" si="13"/>
        <v>23</v>
      </c>
      <c r="D193">
        <f t="shared" si="14"/>
        <v>24.625</v>
      </c>
      <c r="E193">
        <f t="shared" si="15"/>
        <v>24</v>
      </c>
      <c r="F193">
        <f t="shared" si="16"/>
        <v>7.916666666666667</v>
      </c>
      <c r="G193">
        <f>_xlfn.CEILING.MATH($F193)</f>
        <v>8</v>
      </c>
      <c r="H193">
        <f t="shared" si="17"/>
        <v>-1.041666666666663</v>
      </c>
    </row>
    <row r="194" spans="1:8" x14ac:dyDescent="0.3">
      <c r="A194">
        <v>191</v>
      </c>
      <c r="B194">
        <f t="shared" si="12"/>
        <v>23.875</v>
      </c>
      <c r="C194">
        <f t="shared" si="13"/>
        <v>23</v>
      </c>
      <c r="D194">
        <f t="shared" si="14"/>
        <v>24.75</v>
      </c>
      <c r="E194">
        <f t="shared" si="15"/>
        <v>24</v>
      </c>
      <c r="F194">
        <f t="shared" si="16"/>
        <v>7.958333333333333</v>
      </c>
      <c r="G194">
        <f>_xlfn.CEILING.MATH($F194)</f>
        <v>8</v>
      </c>
      <c r="H194">
        <f t="shared" si="17"/>
        <v>-0.52083333333333703</v>
      </c>
    </row>
    <row r="195" spans="1:8" x14ac:dyDescent="0.3">
      <c r="A195">
        <v>192</v>
      </c>
      <c r="B195">
        <f t="shared" si="12"/>
        <v>24</v>
      </c>
      <c r="C195">
        <f t="shared" si="13"/>
        <v>24</v>
      </c>
      <c r="D195">
        <f t="shared" si="14"/>
        <v>24.875</v>
      </c>
      <c r="E195">
        <f t="shared" si="15"/>
        <v>24</v>
      </c>
      <c r="F195">
        <f t="shared" si="16"/>
        <v>8</v>
      </c>
      <c r="G195">
        <f>_xlfn.CEILING.MATH($F195)</f>
        <v>8</v>
      </c>
      <c r="H195">
        <f t="shared" si="17"/>
        <v>0</v>
      </c>
    </row>
    <row r="196" spans="1:8" x14ac:dyDescent="0.3">
      <c r="A196">
        <v>193</v>
      </c>
      <c r="B196">
        <f t="shared" si="12"/>
        <v>24.125</v>
      </c>
      <c r="C196">
        <f t="shared" si="13"/>
        <v>24</v>
      </c>
      <c r="D196">
        <f t="shared" si="14"/>
        <v>25</v>
      </c>
      <c r="E196">
        <f t="shared" si="15"/>
        <v>25</v>
      </c>
      <c r="F196">
        <f t="shared" si="16"/>
        <v>7.72</v>
      </c>
      <c r="G196">
        <f>_xlfn.CEILING.MATH($F196)</f>
        <v>8</v>
      </c>
      <c r="H196">
        <f t="shared" si="17"/>
        <v>-3.5000000000000031</v>
      </c>
    </row>
    <row r="197" spans="1:8" x14ac:dyDescent="0.3">
      <c r="A197">
        <v>194</v>
      </c>
      <c r="B197">
        <f t="shared" si="12"/>
        <v>24.25</v>
      </c>
      <c r="C197">
        <f t="shared" si="13"/>
        <v>24</v>
      </c>
      <c r="D197">
        <f t="shared" si="14"/>
        <v>25.125</v>
      </c>
      <c r="E197">
        <f t="shared" si="15"/>
        <v>25</v>
      </c>
      <c r="F197">
        <f t="shared" si="16"/>
        <v>7.76</v>
      </c>
      <c r="G197">
        <f>_xlfn.CEILING.MATH($F197)</f>
        <v>8</v>
      </c>
      <c r="H197">
        <f t="shared" si="17"/>
        <v>-3.0000000000000027</v>
      </c>
    </row>
    <row r="198" spans="1:8" x14ac:dyDescent="0.3">
      <c r="A198">
        <v>195</v>
      </c>
      <c r="B198">
        <f t="shared" ref="B198:B261" si="18">$A198/8</f>
        <v>24.375</v>
      </c>
      <c r="C198">
        <f t="shared" ref="C198:C261" si="19">_xlfn.FLOOR.MATH($B198)</f>
        <v>24</v>
      </c>
      <c r="D198">
        <f t="shared" ref="D198:D261" si="20">($A198+7)/8</f>
        <v>25.25</v>
      </c>
      <c r="E198">
        <f t="shared" ref="E198:E261" si="21">_xlfn.FLOOR.MATH($D198)</f>
        <v>25</v>
      </c>
      <c r="F198">
        <f t="shared" ref="F198:F261" si="22">$A198/$E198</f>
        <v>7.8</v>
      </c>
      <c r="G198">
        <f>_xlfn.CEILING.MATH($F198)</f>
        <v>8</v>
      </c>
      <c r="H198">
        <f t="shared" ref="H198:H261" si="23">($F198/8-1)*100</f>
        <v>-2.5000000000000022</v>
      </c>
    </row>
    <row r="199" spans="1:8" x14ac:dyDescent="0.3">
      <c r="A199">
        <v>196</v>
      </c>
      <c r="B199">
        <f t="shared" si="18"/>
        <v>24.5</v>
      </c>
      <c r="C199">
        <f t="shared" si="19"/>
        <v>24</v>
      </c>
      <c r="D199">
        <f t="shared" si="20"/>
        <v>25.375</v>
      </c>
      <c r="E199">
        <f t="shared" si="21"/>
        <v>25</v>
      </c>
      <c r="F199">
        <f t="shared" si="22"/>
        <v>7.84</v>
      </c>
      <c r="G199">
        <f>_xlfn.CEILING.MATH($F199)</f>
        <v>8</v>
      </c>
      <c r="H199">
        <f t="shared" si="23"/>
        <v>-2.0000000000000018</v>
      </c>
    </row>
    <row r="200" spans="1:8" x14ac:dyDescent="0.3">
      <c r="A200">
        <v>197</v>
      </c>
      <c r="B200">
        <f t="shared" si="18"/>
        <v>24.625</v>
      </c>
      <c r="C200">
        <f t="shared" si="19"/>
        <v>24</v>
      </c>
      <c r="D200">
        <f t="shared" si="20"/>
        <v>25.5</v>
      </c>
      <c r="E200">
        <f t="shared" si="21"/>
        <v>25</v>
      </c>
      <c r="F200">
        <f t="shared" si="22"/>
        <v>7.88</v>
      </c>
      <c r="G200">
        <f>_xlfn.CEILING.MATH($F200)</f>
        <v>8</v>
      </c>
      <c r="H200">
        <f t="shared" si="23"/>
        <v>-1.5000000000000013</v>
      </c>
    </row>
    <row r="201" spans="1:8" x14ac:dyDescent="0.3">
      <c r="A201">
        <v>198</v>
      </c>
      <c r="B201">
        <f t="shared" si="18"/>
        <v>24.75</v>
      </c>
      <c r="C201">
        <f t="shared" si="19"/>
        <v>24</v>
      </c>
      <c r="D201">
        <f t="shared" si="20"/>
        <v>25.625</v>
      </c>
      <c r="E201">
        <f t="shared" si="21"/>
        <v>25</v>
      </c>
      <c r="F201">
        <f t="shared" si="22"/>
        <v>7.92</v>
      </c>
      <c r="G201">
        <f>_xlfn.CEILING.MATH($F201)</f>
        <v>8</v>
      </c>
      <c r="H201">
        <f t="shared" si="23"/>
        <v>-1.0000000000000009</v>
      </c>
    </row>
    <row r="202" spans="1:8" x14ac:dyDescent="0.3">
      <c r="A202">
        <v>199</v>
      </c>
      <c r="B202">
        <f t="shared" si="18"/>
        <v>24.875</v>
      </c>
      <c r="C202">
        <f t="shared" si="19"/>
        <v>24</v>
      </c>
      <c r="D202">
        <f t="shared" si="20"/>
        <v>25.75</v>
      </c>
      <c r="E202">
        <f t="shared" si="21"/>
        <v>25</v>
      </c>
      <c r="F202">
        <f t="shared" si="22"/>
        <v>7.96</v>
      </c>
      <c r="G202">
        <f>_xlfn.CEILING.MATH($F202)</f>
        <v>8</v>
      </c>
      <c r="H202">
        <f t="shared" si="23"/>
        <v>-0.50000000000000044</v>
      </c>
    </row>
    <row r="203" spans="1:8" x14ac:dyDescent="0.3">
      <c r="A203">
        <v>200</v>
      </c>
      <c r="B203">
        <f t="shared" si="18"/>
        <v>25</v>
      </c>
      <c r="C203">
        <f t="shared" si="19"/>
        <v>25</v>
      </c>
      <c r="D203">
        <f t="shared" si="20"/>
        <v>25.875</v>
      </c>
      <c r="E203">
        <f t="shared" si="21"/>
        <v>25</v>
      </c>
      <c r="F203">
        <f t="shared" si="22"/>
        <v>8</v>
      </c>
      <c r="G203">
        <f>_xlfn.CEILING.MATH($F203)</f>
        <v>8</v>
      </c>
      <c r="H203">
        <f t="shared" si="23"/>
        <v>0</v>
      </c>
    </row>
    <row r="204" spans="1:8" x14ac:dyDescent="0.3">
      <c r="A204">
        <v>201</v>
      </c>
      <c r="B204">
        <f t="shared" si="18"/>
        <v>25.125</v>
      </c>
      <c r="C204">
        <f t="shared" si="19"/>
        <v>25</v>
      </c>
      <c r="D204">
        <f t="shared" si="20"/>
        <v>26</v>
      </c>
      <c r="E204">
        <f t="shared" si="21"/>
        <v>26</v>
      </c>
      <c r="F204">
        <f t="shared" si="22"/>
        <v>7.7307692307692308</v>
      </c>
      <c r="G204">
        <f>_xlfn.CEILING.MATH($F204)</f>
        <v>8</v>
      </c>
      <c r="H204">
        <f t="shared" si="23"/>
        <v>-3.3653846153846145</v>
      </c>
    </row>
    <row r="205" spans="1:8" x14ac:dyDescent="0.3">
      <c r="A205">
        <v>202</v>
      </c>
      <c r="B205">
        <f t="shared" si="18"/>
        <v>25.25</v>
      </c>
      <c r="C205">
        <f t="shared" si="19"/>
        <v>25</v>
      </c>
      <c r="D205">
        <f t="shared" si="20"/>
        <v>26.125</v>
      </c>
      <c r="E205">
        <f t="shared" si="21"/>
        <v>26</v>
      </c>
      <c r="F205">
        <f t="shared" si="22"/>
        <v>7.7692307692307692</v>
      </c>
      <c r="G205">
        <f>_xlfn.CEILING.MATH($F205)</f>
        <v>8</v>
      </c>
      <c r="H205">
        <f t="shared" si="23"/>
        <v>-2.8846153846153855</v>
      </c>
    </row>
    <row r="206" spans="1:8" x14ac:dyDescent="0.3">
      <c r="A206">
        <v>203</v>
      </c>
      <c r="B206">
        <f t="shared" si="18"/>
        <v>25.375</v>
      </c>
      <c r="C206">
        <f t="shared" si="19"/>
        <v>25</v>
      </c>
      <c r="D206">
        <f t="shared" si="20"/>
        <v>26.25</v>
      </c>
      <c r="E206">
        <f t="shared" si="21"/>
        <v>26</v>
      </c>
      <c r="F206">
        <f t="shared" si="22"/>
        <v>7.8076923076923075</v>
      </c>
      <c r="G206">
        <f>_xlfn.CEILING.MATH($F206)</f>
        <v>8</v>
      </c>
      <c r="H206">
        <f t="shared" si="23"/>
        <v>-2.4038461538461564</v>
      </c>
    </row>
    <row r="207" spans="1:8" x14ac:dyDescent="0.3">
      <c r="A207">
        <v>204</v>
      </c>
      <c r="B207">
        <f t="shared" si="18"/>
        <v>25.5</v>
      </c>
      <c r="C207">
        <f t="shared" si="19"/>
        <v>25</v>
      </c>
      <c r="D207">
        <f t="shared" si="20"/>
        <v>26.375</v>
      </c>
      <c r="E207">
        <f t="shared" si="21"/>
        <v>26</v>
      </c>
      <c r="F207">
        <f t="shared" si="22"/>
        <v>7.8461538461538458</v>
      </c>
      <c r="G207">
        <f>_xlfn.CEILING.MATH($F207)</f>
        <v>8</v>
      </c>
      <c r="H207">
        <f t="shared" si="23"/>
        <v>-1.9230769230769273</v>
      </c>
    </row>
    <row r="208" spans="1:8" x14ac:dyDescent="0.3">
      <c r="A208">
        <v>205</v>
      </c>
      <c r="B208">
        <f t="shared" si="18"/>
        <v>25.625</v>
      </c>
      <c r="C208">
        <f t="shared" si="19"/>
        <v>25</v>
      </c>
      <c r="D208">
        <f t="shared" si="20"/>
        <v>26.5</v>
      </c>
      <c r="E208">
        <f t="shared" si="21"/>
        <v>26</v>
      </c>
      <c r="F208">
        <f t="shared" si="22"/>
        <v>7.884615384615385</v>
      </c>
      <c r="G208">
        <f>_xlfn.CEILING.MATH($F208)</f>
        <v>8</v>
      </c>
      <c r="H208">
        <f t="shared" si="23"/>
        <v>-1.4423076923076872</v>
      </c>
    </row>
    <row r="209" spans="1:8" x14ac:dyDescent="0.3">
      <c r="A209">
        <v>206</v>
      </c>
      <c r="B209">
        <f t="shared" si="18"/>
        <v>25.75</v>
      </c>
      <c r="C209">
        <f t="shared" si="19"/>
        <v>25</v>
      </c>
      <c r="D209">
        <f t="shared" si="20"/>
        <v>26.625</v>
      </c>
      <c r="E209">
        <f t="shared" si="21"/>
        <v>26</v>
      </c>
      <c r="F209">
        <f t="shared" si="22"/>
        <v>7.9230769230769234</v>
      </c>
      <c r="G209">
        <f>_xlfn.CEILING.MATH($F209)</f>
        <v>8</v>
      </c>
      <c r="H209">
        <f t="shared" si="23"/>
        <v>-0.96153846153845812</v>
      </c>
    </row>
    <row r="210" spans="1:8" x14ac:dyDescent="0.3">
      <c r="A210">
        <v>207</v>
      </c>
      <c r="B210">
        <f t="shared" si="18"/>
        <v>25.875</v>
      </c>
      <c r="C210">
        <f t="shared" si="19"/>
        <v>25</v>
      </c>
      <c r="D210">
        <f t="shared" si="20"/>
        <v>26.75</v>
      </c>
      <c r="E210">
        <f t="shared" si="21"/>
        <v>26</v>
      </c>
      <c r="F210">
        <f t="shared" si="22"/>
        <v>7.9615384615384617</v>
      </c>
      <c r="G210">
        <f>_xlfn.CEILING.MATH($F210)</f>
        <v>8</v>
      </c>
      <c r="H210">
        <f t="shared" si="23"/>
        <v>-0.48076923076922906</v>
      </c>
    </row>
    <row r="211" spans="1:8" x14ac:dyDescent="0.3">
      <c r="A211">
        <v>208</v>
      </c>
      <c r="B211">
        <f t="shared" si="18"/>
        <v>26</v>
      </c>
      <c r="C211">
        <f t="shared" si="19"/>
        <v>26</v>
      </c>
      <c r="D211">
        <f t="shared" si="20"/>
        <v>26.875</v>
      </c>
      <c r="E211">
        <f t="shared" si="21"/>
        <v>26</v>
      </c>
      <c r="F211">
        <f t="shared" si="22"/>
        <v>8</v>
      </c>
      <c r="G211">
        <f>_xlfn.CEILING.MATH($F211)</f>
        <v>8</v>
      </c>
      <c r="H211">
        <f t="shared" si="23"/>
        <v>0</v>
      </c>
    </row>
    <row r="212" spans="1:8" x14ac:dyDescent="0.3">
      <c r="A212">
        <v>209</v>
      </c>
      <c r="B212">
        <f t="shared" si="18"/>
        <v>26.125</v>
      </c>
      <c r="C212">
        <f t="shared" si="19"/>
        <v>26</v>
      </c>
      <c r="D212">
        <f t="shared" si="20"/>
        <v>27</v>
      </c>
      <c r="E212">
        <f t="shared" si="21"/>
        <v>27</v>
      </c>
      <c r="F212">
        <f t="shared" si="22"/>
        <v>7.7407407407407405</v>
      </c>
      <c r="G212">
        <f>_xlfn.CEILING.MATH($F212)</f>
        <v>8</v>
      </c>
      <c r="H212">
        <f t="shared" si="23"/>
        <v>-3.240740740740744</v>
      </c>
    </row>
    <row r="213" spans="1:8" x14ac:dyDescent="0.3">
      <c r="A213">
        <v>210</v>
      </c>
      <c r="B213">
        <f t="shared" si="18"/>
        <v>26.25</v>
      </c>
      <c r="C213">
        <f t="shared" si="19"/>
        <v>26</v>
      </c>
      <c r="D213">
        <f t="shared" si="20"/>
        <v>27.125</v>
      </c>
      <c r="E213">
        <f t="shared" si="21"/>
        <v>27</v>
      </c>
      <c r="F213">
        <f t="shared" si="22"/>
        <v>7.7777777777777777</v>
      </c>
      <c r="G213">
        <f>_xlfn.CEILING.MATH($F213)</f>
        <v>8</v>
      </c>
      <c r="H213">
        <f t="shared" si="23"/>
        <v>-2.777777777777779</v>
      </c>
    </row>
    <row r="214" spans="1:8" x14ac:dyDescent="0.3">
      <c r="A214">
        <v>211</v>
      </c>
      <c r="B214">
        <f t="shared" si="18"/>
        <v>26.375</v>
      </c>
      <c r="C214">
        <f t="shared" si="19"/>
        <v>26</v>
      </c>
      <c r="D214">
        <f t="shared" si="20"/>
        <v>27.25</v>
      </c>
      <c r="E214">
        <f t="shared" si="21"/>
        <v>27</v>
      </c>
      <c r="F214">
        <f t="shared" si="22"/>
        <v>7.8148148148148149</v>
      </c>
      <c r="G214">
        <f>_xlfn.CEILING.MATH($F214)</f>
        <v>8</v>
      </c>
      <c r="H214">
        <f t="shared" si="23"/>
        <v>-2.314814814814814</v>
      </c>
    </row>
    <row r="215" spans="1:8" x14ac:dyDescent="0.3">
      <c r="A215">
        <v>212</v>
      </c>
      <c r="B215">
        <f t="shared" si="18"/>
        <v>26.5</v>
      </c>
      <c r="C215">
        <f t="shared" si="19"/>
        <v>26</v>
      </c>
      <c r="D215">
        <f t="shared" si="20"/>
        <v>27.375</v>
      </c>
      <c r="E215">
        <f t="shared" si="21"/>
        <v>27</v>
      </c>
      <c r="F215">
        <f t="shared" si="22"/>
        <v>7.8518518518518521</v>
      </c>
      <c r="G215">
        <f>_xlfn.CEILING.MATH($F215)</f>
        <v>8</v>
      </c>
      <c r="H215">
        <f t="shared" si="23"/>
        <v>-1.851851851851849</v>
      </c>
    </row>
    <row r="216" spans="1:8" x14ac:dyDescent="0.3">
      <c r="A216">
        <v>213</v>
      </c>
      <c r="B216">
        <f t="shared" si="18"/>
        <v>26.625</v>
      </c>
      <c r="C216">
        <f t="shared" si="19"/>
        <v>26</v>
      </c>
      <c r="D216">
        <f t="shared" si="20"/>
        <v>27.5</v>
      </c>
      <c r="E216">
        <f t="shared" si="21"/>
        <v>27</v>
      </c>
      <c r="F216">
        <f t="shared" si="22"/>
        <v>7.8888888888888893</v>
      </c>
      <c r="G216">
        <f>_xlfn.CEILING.MATH($F216)</f>
        <v>8</v>
      </c>
      <c r="H216">
        <f t="shared" si="23"/>
        <v>-1.388888888888884</v>
      </c>
    </row>
    <row r="217" spans="1:8" x14ac:dyDescent="0.3">
      <c r="A217">
        <v>214</v>
      </c>
      <c r="B217">
        <f t="shared" si="18"/>
        <v>26.75</v>
      </c>
      <c r="C217">
        <f t="shared" si="19"/>
        <v>26</v>
      </c>
      <c r="D217">
        <f t="shared" si="20"/>
        <v>27.625</v>
      </c>
      <c r="E217">
        <f t="shared" si="21"/>
        <v>27</v>
      </c>
      <c r="F217">
        <f t="shared" si="22"/>
        <v>7.9259259259259256</v>
      </c>
      <c r="G217">
        <f>_xlfn.CEILING.MATH($F217)</f>
        <v>8</v>
      </c>
      <c r="H217">
        <f t="shared" si="23"/>
        <v>-0.92592592592593004</v>
      </c>
    </row>
    <row r="218" spans="1:8" x14ac:dyDescent="0.3">
      <c r="A218">
        <v>215</v>
      </c>
      <c r="B218">
        <f t="shared" si="18"/>
        <v>26.875</v>
      </c>
      <c r="C218">
        <f t="shared" si="19"/>
        <v>26</v>
      </c>
      <c r="D218">
        <f t="shared" si="20"/>
        <v>27.75</v>
      </c>
      <c r="E218">
        <f t="shared" si="21"/>
        <v>27</v>
      </c>
      <c r="F218">
        <f t="shared" si="22"/>
        <v>7.9629629629629628</v>
      </c>
      <c r="G218">
        <f>_xlfn.CEILING.MATH($F218)</f>
        <v>8</v>
      </c>
      <c r="H218">
        <f t="shared" si="23"/>
        <v>-0.46296296296296502</v>
      </c>
    </row>
    <row r="219" spans="1:8" x14ac:dyDescent="0.3">
      <c r="A219">
        <v>216</v>
      </c>
      <c r="B219">
        <f t="shared" si="18"/>
        <v>27</v>
      </c>
      <c r="C219">
        <f t="shared" si="19"/>
        <v>27</v>
      </c>
      <c r="D219">
        <f t="shared" si="20"/>
        <v>27.875</v>
      </c>
      <c r="E219">
        <f t="shared" si="21"/>
        <v>27</v>
      </c>
      <c r="F219">
        <f t="shared" si="22"/>
        <v>8</v>
      </c>
      <c r="G219">
        <f>_xlfn.CEILING.MATH($F219)</f>
        <v>8</v>
      </c>
      <c r="H219">
        <f t="shared" si="23"/>
        <v>0</v>
      </c>
    </row>
    <row r="220" spans="1:8" x14ac:dyDescent="0.3">
      <c r="A220">
        <v>217</v>
      </c>
      <c r="B220">
        <f t="shared" si="18"/>
        <v>27.125</v>
      </c>
      <c r="C220">
        <f t="shared" si="19"/>
        <v>27</v>
      </c>
      <c r="D220">
        <f t="shared" si="20"/>
        <v>28</v>
      </c>
      <c r="E220">
        <f t="shared" si="21"/>
        <v>28</v>
      </c>
      <c r="F220">
        <f t="shared" si="22"/>
        <v>7.75</v>
      </c>
      <c r="G220">
        <f>_xlfn.CEILING.MATH($F220)</f>
        <v>8</v>
      </c>
      <c r="H220">
        <f t="shared" si="23"/>
        <v>-3.125</v>
      </c>
    </row>
    <row r="221" spans="1:8" x14ac:dyDescent="0.3">
      <c r="A221">
        <v>218</v>
      </c>
      <c r="B221">
        <f t="shared" si="18"/>
        <v>27.25</v>
      </c>
      <c r="C221">
        <f t="shared" si="19"/>
        <v>27</v>
      </c>
      <c r="D221">
        <f t="shared" si="20"/>
        <v>28.125</v>
      </c>
      <c r="E221">
        <f t="shared" si="21"/>
        <v>28</v>
      </c>
      <c r="F221">
        <f t="shared" si="22"/>
        <v>7.7857142857142856</v>
      </c>
      <c r="G221">
        <f>_xlfn.CEILING.MATH($F221)</f>
        <v>8</v>
      </c>
      <c r="H221">
        <f t="shared" si="23"/>
        <v>-2.6785714285714302</v>
      </c>
    </row>
    <row r="222" spans="1:8" x14ac:dyDescent="0.3">
      <c r="A222">
        <v>219</v>
      </c>
      <c r="B222">
        <f t="shared" si="18"/>
        <v>27.375</v>
      </c>
      <c r="C222">
        <f t="shared" si="19"/>
        <v>27</v>
      </c>
      <c r="D222">
        <f t="shared" si="20"/>
        <v>28.25</v>
      </c>
      <c r="E222">
        <f t="shared" si="21"/>
        <v>28</v>
      </c>
      <c r="F222">
        <f t="shared" si="22"/>
        <v>7.8214285714285712</v>
      </c>
      <c r="G222">
        <f>_xlfn.CEILING.MATH($F222)</f>
        <v>8</v>
      </c>
      <c r="H222">
        <f t="shared" si="23"/>
        <v>-2.2321428571428603</v>
      </c>
    </row>
    <row r="223" spans="1:8" x14ac:dyDescent="0.3">
      <c r="A223">
        <v>220</v>
      </c>
      <c r="B223">
        <f t="shared" si="18"/>
        <v>27.5</v>
      </c>
      <c r="C223">
        <f t="shared" si="19"/>
        <v>27</v>
      </c>
      <c r="D223">
        <f t="shared" si="20"/>
        <v>28.375</v>
      </c>
      <c r="E223">
        <f t="shared" si="21"/>
        <v>28</v>
      </c>
      <c r="F223">
        <f t="shared" si="22"/>
        <v>7.8571428571428568</v>
      </c>
      <c r="G223">
        <f>_xlfn.CEILING.MATH($F223)</f>
        <v>8</v>
      </c>
      <c r="H223">
        <f t="shared" si="23"/>
        <v>-1.7857142857142905</v>
      </c>
    </row>
    <row r="224" spans="1:8" x14ac:dyDescent="0.3">
      <c r="A224">
        <v>221</v>
      </c>
      <c r="B224">
        <f t="shared" si="18"/>
        <v>27.625</v>
      </c>
      <c r="C224">
        <f t="shared" si="19"/>
        <v>27</v>
      </c>
      <c r="D224">
        <f t="shared" si="20"/>
        <v>28.5</v>
      </c>
      <c r="E224">
        <f t="shared" si="21"/>
        <v>28</v>
      </c>
      <c r="F224">
        <f t="shared" si="22"/>
        <v>7.8928571428571432</v>
      </c>
      <c r="G224">
        <f>_xlfn.CEILING.MATH($F224)</f>
        <v>8</v>
      </c>
      <c r="H224">
        <f t="shared" si="23"/>
        <v>-1.3392857142857095</v>
      </c>
    </row>
    <row r="225" spans="1:8" x14ac:dyDescent="0.3">
      <c r="A225">
        <v>222</v>
      </c>
      <c r="B225">
        <f t="shared" si="18"/>
        <v>27.75</v>
      </c>
      <c r="C225">
        <f t="shared" si="19"/>
        <v>27</v>
      </c>
      <c r="D225">
        <f t="shared" si="20"/>
        <v>28.625</v>
      </c>
      <c r="E225">
        <f t="shared" si="21"/>
        <v>28</v>
      </c>
      <c r="F225">
        <f t="shared" si="22"/>
        <v>7.9285714285714288</v>
      </c>
      <c r="G225">
        <f>_xlfn.CEILING.MATH($F225)</f>
        <v>8</v>
      </c>
      <c r="H225">
        <f t="shared" si="23"/>
        <v>-0.89285714285713969</v>
      </c>
    </row>
    <row r="226" spans="1:8" x14ac:dyDescent="0.3">
      <c r="A226">
        <v>223</v>
      </c>
      <c r="B226">
        <f t="shared" si="18"/>
        <v>27.875</v>
      </c>
      <c r="C226">
        <f t="shared" si="19"/>
        <v>27</v>
      </c>
      <c r="D226">
        <f t="shared" si="20"/>
        <v>28.75</v>
      </c>
      <c r="E226">
        <f t="shared" si="21"/>
        <v>28</v>
      </c>
      <c r="F226">
        <f t="shared" si="22"/>
        <v>7.9642857142857144</v>
      </c>
      <c r="G226">
        <f>_xlfn.CEILING.MATH($F226)</f>
        <v>8</v>
      </c>
      <c r="H226">
        <f t="shared" si="23"/>
        <v>-0.44642857142856984</v>
      </c>
    </row>
    <row r="227" spans="1:8" x14ac:dyDescent="0.3">
      <c r="A227">
        <v>224</v>
      </c>
      <c r="B227">
        <f t="shared" si="18"/>
        <v>28</v>
      </c>
      <c r="C227">
        <f t="shared" si="19"/>
        <v>28</v>
      </c>
      <c r="D227">
        <f t="shared" si="20"/>
        <v>28.875</v>
      </c>
      <c r="E227">
        <f t="shared" si="21"/>
        <v>28</v>
      </c>
      <c r="F227">
        <f t="shared" si="22"/>
        <v>8</v>
      </c>
      <c r="G227">
        <f>_xlfn.CEILING.MATH($F227)</f>
        <v>8</v>
      </c>
      <c r="H227">
        <f t="shared" si="23"/>
        <v>0</v>
      </c>
    </row>
    <row r="228" spans="1:8" x14ac:dyDescent="0.3">
      <c r="A228">
        <v>225</v>
      </c>
      <c r="B228">
        <f t="shared" si="18"/>
        <v>28.125</v>
      </c>
      <c r="C228">
        <f t="shared" si="19"/>
        <v>28</v>
      </c>
      <c r="D228">
        <f t="shared" si="20"/>
        <v>29</v>
      </c>
      <c r="E228">
        <f t="shared" si="21"/>
        <v>29</v>
      </c>
      <c r="F228">
        <f t="shared" si="22"/>
        <v>7.7586206896551726</v>
      </c>
      <c r="G228">
        <f>_xlfn.CEILING.MATH($F228)</f>
        <v>8</v>
      </c>
      <c r="H228">
        <f t="shared" si="23"/>
        <v>-3.0172413793103425</v>
      </c>
    </row>
    <row r="229" spans="1:8" x14ac:dyDescent="0.3">
      <c r="A229">
        <v>226</v>
      </c>
      <c r="B229">
        <f t="shared" si="18"/>
        <v>28.25</v>
      </c>
      <c r="C229">
        <f t="shared" si="19"/>
        <v>28</v>
      </c>
      <c r="D229">
        <f t="shared" si="20"/>
        <v>29.125</v>
      </c>
      <c r="E229">
        <f t="shared" si="21"/>
        <v>29</v>
      </c>
      <c r="F229">
        <f t="shared" si="22"/>
        <v>7.7931034482758621</v>
      </c>
      <c r="G229">
        <f>_xlfn.CEILING.MATH($F229)</f>
        <v>8</v>
      </c>
      <c r="H229">
        <f t="shared" si="23"/>
        <v>-2.5862068965517238</v>
      </c>
    </row>
    <row r="230" spans="1:8" x14ac:dyDescent="0.3">
      <c r="A230">
        <v>227</v>
      </c>
      <c r="B230">
        <f t="shared" si="18"/>
        <v>28.375</v>
      </c>
      <c r="C230">
        <f t="shared" si="19"/>
        <v>28</v>
      </c>
      <c r="D230">
        <f t="shared" si="20"/>
        <v>29.25</v>
      </c>
      <c r="E230">
        <f t="shared" si="21"/>
        <v>29</v>
      </c>
      <c r="F230">
        <f t="shared" si="22"/>
        <v>7.8275862068965516</v>
      </c>
      <c r="G230">
        <f>_xlfn.CEILING.MATH($F230)</f>
        <v>8</v>
      </c>
      <c r="H230">
        <f t="shared" si="23"/>
        <v>-2.155172413793105</v>
      </c>
    </row>
    <row r="231" spans="1:8" x14ac:dyDescent="0.3">
      <c r="A231">
        <v>228</v>
      </c>
      <c r="B231">
        <f t="shared" si="18"/>
        <v>28.5</v>
      </c>
      <c r="C231">
        <f t="shared" si="19"/>
        <v>28</v>
      </c>
      <c r="D231">
        <f t="shared" si="20"/>
        <v>29.375</v>
      </c>
      <c r="E231">
        <f t="shared" si="21"/>
        <v>29</v>
      </c>
      <c r="F231">
        <f t="shared" si="22"/>
        <v>7.8620689655172411</v>
      </c>
      <c r="G231">
        <f>_xlfn.CEILING.MATH($F231)</f>
        <v>8</v>
      </c>
      <c r="H231">
        <f t="shared" si="23"/>
        <v>-1.7241379310344862</v>
      </c>
    </row>
    <row r="232" spans="1:8" x14ac:dyDescent="0.3">
      <c r="A232">
        <v>229</v>
      </c>
      <c r="B232">
        <f t="shared" si="18"/>
        <v>28.625</v>
      </c>
      <c r="C232">
        <f t="shared" si="19"/>
        <v>28</v>
      </c>
      <c r="D232">
        <f t="shared" si="20"/>
        <v>29.5</v>
      </c>
      <c r="E232">
        <f t="shared" si="21"/>
        <v>29</v>
      </c>
      <c r="F232">
        <f t="shared" si="22"/>
        <v>7.8965517241379306</v>
      </c>
      <c r="G232">
        <f>_xlfn.CEILING.MATH($F232)</f>
        <v>8</v>
      </c>
      <c r="H232">
        <f t="shared" si="23"/>
        <v>-1.2931034482758674</v>
      </c>
    </row>
    <row r="233" spans="1:8" x14ac:dyDescent="0.3">
      <c r="A233">
        <v>230</v>
      </c>
      <c r="B233">
        <f t="shared" si="18"/>
        <v>28.75</v>
      </c>
      <c r="C233">
        <f t="shared" si="19"/>
        <v>28</v>
      </c>
      <c r="D233">
        <f t="shared" si="20"/>
        <v>29.625</v>
      </c>
      <c r="E233">
        <f t="shared" si="21"/>
        <v>29</v>
      </c>
      <c r="F233">
        <f t="shared" si="22"/>
        <v>7.931034482758621</v>
      </c>
      <c r="G233">
        <f>_xlfn.CEILING.MATH($F233)</f>
        <v>8</v>
      </c>
      <c r="H233">
        <f t="shared" si="23"/>
        <v>-0.86206896551723755</v>
      </c>
    </row>
    <row r="234" spans="1:8" x14ac:dyDescent="0.3">
      <c r="A234">
        <v>231</v>
      </c>
      <c r="B234">
        <f t="shared" si="18"/>
        <v>28.875</v>
      </c>
      <c r="C234">
        <f t="shared" si="19"/>
        <v>28</v>
      </c>
      <c r="D234">
        <f t="shared" si="20"/>
        <v>29.75</v>
      </c>
      <c r="E234">
        <f t="shared" si="21"/>
        <v>29</v>
      </c>
      <c r="F234">
        <f t="shared" si="22"/>
        <v>7.9655172413793105</v>
      </c>
      <c r="G234">
        <f>_xlfn.CEILING.MATH($F234)</f>
        <v>8</v>
      </c>
      <c r="H234">
        <f t="shared" si="23"/>
        <v>-0.43103448275861878</v>
      </c>
    </row>
    <row r="235" spans="1:8" x14ac:dyDescent="0.3">
      <c r="A235">
        <v>232</v>
      </c>
      <c r="B235">
        <f t="shared" si="18"/>
        <v>29</v>
      </c>
      <c r="C235">
        <f t="shared" si="19"/>
        <v>29</v>
      </c>
      <c r="D235">
        <f t="shared" si="20"/>
        <v>29.875</v>
      </c>
      <c r="E235">
        <f t="shared" si="21"/>
        <v>29</v>
      </c>
      <c r="F235">
        <f t="shared" si="22"/>
        <v>8</v>
      </c>
      <c r="G235">
        <f>_xlfn.CEILING.MATH($F235)</f>
        <v>8</v>
      </c>
      <c r="H235">
        <f t="shared" si="23"/>
        <v>0</v>
      </c>
    </row>
    <row r="236" spans="1:8" x14ac:dyDescent="0.3">
      <c r="A236">
        <v>233</v>
      </c>
      <c r="B236">
        <f t="shared" si="18"/>
        <v>29.125</v>
      </c>
      <c r="C236">
        <f t="shared" si="19"/>
        <v>29</v>
      </c>
      <c r="D236">
        <f t="shared" si="20"/>
        <v>30</v>
      </c>
      <c r="E236">
        <f t="shared" si="21"/>
        <v>30</v>
      </c>
      <c r="F236">
        <f t="shared" si="22"/>
        <v>7.7666666666666666</v>
      </c>
      <c r="G236">
        <f>_xlfn.CEILING.MATH($F236)</f>
        <v>8</v>
      </c>
      <c r="H236">
        <f t="shared" si="23"/>
        <v>-2.9166666666666674</v>
      </c>
    </row>
    <row r="237" spans="1:8" x14ac:dyDescent="0.3">
      <c r="A237">
        <v>234</v>
      </c>
      <c r="B237">
        <f t="shared" si="18"/>
        <v>29.25</v>
      </c>
      <c r="C237">
        <f t="shared" si="19"/>
        <v>29</v>
      </c>
      <c r="D237">
        <f t="shared" si="20"/>
        <v>30.125</v>
      </c>
      <c r="E237">
        <f t="shared" si="21"/>
        <v>30</v>
      </c>
      <c r="F237">
        <f t="shared" si="22"/>
        <v>7.8</v>
      </c>
      <c r="G237">
        <f>_xlfn.CEILING.MATH($F237)</f>
        <v>8</v>
      </c>
      <c r="H237">
        <f t="shared" si="23"/>
        <v>-2.5000000000000022</v>
      </c>
    </row>
    <row r="238" spans="1:8" x14ac:dyDescent="0.3">
      <c r="A238">
        <v>235</v>
      </c>
      <c r="B238">
        <f t="shared" si="18"/>
        <v>29.375</v>
      </c>
      <c r="C238">
        <f t="shared" si="19"/>
        <v>29</v>
      </c>
      <c r="D238">
        <f t="shared" si="20"/>
        <v>30.25</v>
      </c>
      <c r="E238">
        <f t="shared" si="21"/>
        <v>30</v>
      </c>
      <c r="F238">
        <f t="shared" si="22"/>
        <v>7.833333333333333</v>
      </c>
      <c r="G238">
        <f>_xlfn.CEILING.MATH($F238)</f>
        <v>8</v>
      </c>
      <c r="H238">
        <f t="shared" si="23"/>
        <v>-2.083333333333337</v>
      </c>
    </row>
    <row r="239" spans="1:8" x14ac:dyDescent="0.3">
      <c r="A239">
        <v>236</v>
      </c>
      <c r="B239">
        <f t="shared" si="18"/>
        <v>29.5</v>
      </c>
      <c r="C239">
        <f t="shared" si="19"/>
        <v>29</v>
      </c>
      <c r="D239">
        <f t="shared" si="20"/>
        <v>30.375</v>
      </c>
      <c r="E239">
        <f t="shared" si="21"/>
        <v>30</v>
      </c>
      <c r="F239">
        <f t="shared" si="22"/>
        <v>7.8666666666666663</v>
      </c>
      <c r="G239">
        <f>_xlfn.CEILING.MATH($F239)</f>
        <v>8</v>
      </c>
      <c r="H239">
        <f t="shared" si="23"/>
        <v>-1.6666666666666718</v>
      </c>
    </row>
    <row r="240" spans="1:8" x14ac:dyDescent="0.3">
      <c r="A240">
        <v>237</v>
      </c>
      <c r="B240">
        <f t="shared" si="18"/>
        <v>29.625</v>
      </c>
      <c r="C240">
        <f t="shared" si="19"/>
        <v>29</v>
      </c>
      <c r="D240">
        <f t="shared" si="20"/>
        <v>30.5</v>
      </c>
      <c r="E240">
        <f t="shared" si="21"/>
        <v>30</v>
      </c>
      <c r="F240">
        <f t="shared" si="22"/>
        <v>7.9</v>
      </c>
      <c r="G240">
        <f>_xlfn.CEILING.MATH($F240)</f>
        <v>8</v>
      </c>
      <c r="H240">
        <f t="shared" si="23"/>
        <v>-1.2499999999999956</v>
      </c>
    </row>
    <row r="241" spans="1:8" x14ac:dyDescent="0.3">
      <c r="A241">
        <v>238</v>
      </c>
      <c r="B241">
        <f t="shared" si="18"/>
        <v>29.75</v>
      </c>
      <c r="C241">
        <f t="shared" si="19"/>
        <v>29</v>
      </c>
      <c r="D241">
        <f t="shared" si="20"/>
        <v>30.625</v>
      </c>
      <c r="E241">
        <f t="shared" si="21"/>
        <v>30</v>
      </c>
      <c r="F241">
        <f t="shared" si="22"/>
        <v>7.9333333333333336</v>
      </c>
      <c r="G241">
        <f>_xlfn.CEILING.MATH($F241)</f>
        <v>8</v>
      </c>
      <c r="H241">
        <f t="shared" si="23"/>
        <v>-0.83333333333333037</v>
      </c>
    </row>
    <row r="242" spans="1:8" x14ac:dyDescent="0.3">
      <c r="A242">
        <v>239</v>
      </c>
      <c r="B242">
        <f t="shared" si="18"/>
        <v>29.875</v>
      </c>
      <c r="C242">
        <f t="shared" si="19"/>
        <v>29</v>
      </c>
      <c r="D242">
        <f t="shared" si="20"/>
        <v>30.75</v>
      </c>
      <c r="E242">
        <f t="shared" si="21"/>
        <v>30</v>
      </c>
      <c r="F242">
        <f t="shared" si="22"/>
        <v>7.9666666666666668</v>
      </c>
      <c r="G242">
        <f>_xlfn.CEILING.MATH($F242)</f>
        <v>8</v>
      </c>
      <c r="H242">
        <f t="shared" si="23"/>
        <v>-0.41666666666666519</v>
      </c>
    </row>
    <row r="243" spans="1:8" x14ac:dyDescent="0.3">
      <c r="A243">
        <v>240</v>
      </c>
      <c r="B243">
        <f t="shared" si="18"/>
        <v>30</v>
      </c>
      <c r="C243">
        <f t="shared" si="19"/>
        <v>30</v>
      </c>
      <c r="D243">
        <f t="shared" si="20"/>
        <v>30.875</v>
      </c>
      <c r="E243">
        <f t="shared" si="21"/>
        <v>30</v>
      </c>
      <c r="F243">
        <f t="shared" si="22"/>
        <v>8</v>
      </c>
      <c r="G243">
        <f>_xlfn.CEILING.MATH($F243)</f>
        <v>8</v>
      </c>
      <c r="H243">
        <f t="shared" si="23"/>
        <v>0</v>
      </c>
    </row>
    <row r="244" spans="1:8" x14ac:dyDescent="0.3">
      <c r="A244">
        <v>241</v>
      </c>
      <c r="B244">
        <f t="shared" si="18"/>
        <v>30.125</v>
      </c>
      <c r="C244">
        <f t="shared" si="19"/>
        <v>30</v>
      </c>
      <c r="D244">
        <f t="shared" si="20"/>
        <v>31</v>
      </c>
      <c r="E244">
        <f t="shared" si="21"/>
        <v>31</v>
      </c>
      <c r="F244">
        <f t="shared" si="22"/>
        <v>7.774193548387097</v>
      </c>
      <c r="G244">
        <f>_xlfn.CEILING.MATH($F244)</f>
        <v>8</v>
      </c>
      <c r="H244">
        <f t="shared" si="23"/>
        <v>-2.8225806451612878</v>
      </c>
    </row>
    <row r="245" spans="1:8" x14ac:dyDescent="0.3">
      <c r="A245">
        <v>242</v>
      </c>
      <c r="B245">
        <f t="shared" si="18"/>
        <v>30.25</v>
      </c>
      <c r="C245">
        <f t="shared" si="19"/>
        <v>30</v>
      </c>
      <c r="D245">
        <f t="shared" si="20"/>
        <v>31.125</v>
      </c>
      <c r="E245">
        <f t="shared" si="21"/>
        <v>31</v>
      </c>
      <c r="F245">
        <f t="shared" si="22"/>
        <v>7.806451612903226</v>
      </c>
      <c r="G245">
        <f>_xlfn.CEILING.MATH($F245)</f>
        <v>8</v>
      </c>
      <c r="H245">
        <f t="shared" si="23"/>
        <v>-2.4193548387096753</v>
      </c>
    </row>
    <row r="246" spans="1:8" x14ac:dyDescent="0.3">
      <c r="A246">
        <v>243</v>
      </c>
      <c r="B246">
        <f t="shared" si="18"/>
        <v>30.375</v>
      </c>
      <c r="C246">
        <f t="shared" si="19"/>
        <v>30</v>
      </c>
      <c r="D246">
        <f t="shared" si="20"/>
        <v>31.25</v>
      </c>
      <c r="E246">
        <f t="shared" si="21"/>
        <v>31</v>
      </c>
      <c r="F246">
        <f t="shared" si="22"/>
        <v>7.838709677419355</v>
      </c>
      <c r="G246">
        <f>_xlfn.CEILING.MATH($F246)</f>
        <v>8</v>
      </c>
      <c r="H246">
        <f t="shared" si="23"/>
        <v>-2.0161290322580627</v>
      </c>
    </row>
    <row r="247" spans="1:8" x14ac:dyDescent="0.3">
      <c r="A247">
        <v>244</v>
      </c>
      <c r="B247">
        <f t="shared" si="18"/>
        <v>30.5</v>
      </c>
      <c r="C247">
        <f t="shared" si="19"/>
        <v>30</v>
      </c>
      <c r="D247">
        <f t="shared" si="20"/>
        <v>31.375</v>
      </c>
      <c r="E247">
        <f t="shared" si="21"/>
        <v>31</v>
      </c>
      <c r="F247">
        <f t="shared" si="22"/>
        <v>7.870967741935484</v>
      </c>
      <c r="G247">
        <f>_xlfn.CEILING.MATH($F247)</f>
        <v>8</v>
      </c>
      <c r="H247">
        <f t="shared" si="23"/>
        <v>-1.6129032258064502</v>
      </c>
    </row>
    <row r="248" spans="1:8" x14ac:dyDescent="0.3">
      <c r="A248">
        <v>245</v>
      </c>
      <c r="B248">
        <f t="shared" si="18"/>
        <v>30.625</v>
      </c>
      <c r="C248">
        <f t="shared" si="19"/>
        <v>30</v>
      </c>
      <c r="D248">
        <f t="shared" si="20"/>
        <v>31.5</v>
      </c>
      <c r="E248">
        <f t="shared" si="21"/>
        <v>31</v>
      </c>
      <c r="F248">
        <f t="shared" si="22"/>
        <v>7.903225806451613</v>
      </c>
      <c r="G248">
        <f>_xlfn.CEILING.MATH($F248)</f>
        <v>8</v>
      </c>
      <c r="H248">
        <f t="shared" si="23"/>
        <v>-1.2096774193548376</v>
      </c>
    </row>
    <row r="249" spans="1:8" x14ac:dyDescent="0.3">
      <c r="A249">
        <v>246</v>
      </c>
      <c r="B249">
        <f t="shared" si="18"/>
        <v>30.75</v>
      </c>
      <c r="C249">
        <f t="shared" si="19"/>
        <v>30</v>
      </c>
      <c r="D249">
        <f t="shared" si="20"/>
        <v>31.625</v>
      </c>
      <c r="E249">
        <f t="shared" si="21"/>
        <v>31</v>
      </c>
      <c r="F249">
        <f t="shared" si="22"/>
        <v>7.935483870967742</v>
      </c>
      <c r="G249">
        <f>_xlfn.CEILING.MATH($F249)</f>
        <v>8</v>
      </c>
      <c r="H249">
        <f t="shared" si="23"/>
        <v>-0.80645161290322509</v>
      </c>
    </row>
    <row r="250" spans="1:8" x14ac:dyDescent="0.3">
      <c r="A250">
        <v>247</v>
      </c>
      <c r="B250">
        <f t="shared" si="18"/>
        <v>30.875</v>
      </c>
      <c r="C250">
        <f t="shared" si="19"/>
        <v>30</v>
      </c>
      <c r="D250">
        <f t="shared" si="20"/>
        <v>31.75</v>
      </c>
      <c r="E250">
        <f t="shared" si="21"/>
        <v>31</v>
      </c>
      <c r="F250">
        <f t="shared" si="22"/>
        <v>7.967741935483871</v>
      </c>
      <c r="G250">
        <f>_xlfn.CEILING.MATH($F250)</f>
        <v>8</v>
      </c>
      <c r="H250">
        <f t="shared" si="23"/>
        <v>-0.40322580645161255</v>
      </c>
    </row>
    <row r="251" spans="1:8" x14ac:dyDescent="0.3">
      <c r="A251">
        <v>248</v>
      </c>
      <c r="B251">
        <f t="shared" si="18"/>
        <v>31</v>
      </c>
      <c r="C251">
        <f t="shared" si="19"/>
        <v>31</v>
      </c>
      <c r="D251">
        <f t="shared" si="20"/>
        <v>31.875</v>
      </c>
      <c r="E251">
        <f t="shared" si="21"/>
        <v>31</v>
      </c>
      <c r="F251">
        <f t="shared" si="22"/>
        <v>8</v>
      </c>
      <c r="G251">
        <f>_xlfn.CEILING.MATH($F251)</f>
        <v>8</v>
      </c>
      <c r="H251">
        <f t="shared" si="23"/>
        <v>0</v>
      </c>
    </row>
    <row r="252" spans="1:8" x14ac:dyDescent="0.3">
      <c r="A252">
        <v>249</v>
      </c>
      <c r="B252">
        <f t="shared" si="18"/>
        <v>31.125</v>
      </c>
      <c r="C252">
        <f t="shared" si="19"/>
        <v>31</v>
      </c>
      <c r="D252">
        <f t="shared" si="20"/>
        <v>32</v>
      </c>
      <c r="E252">
        <f t="shared" si="21"/>
        <v>32</v>
      </c>
      <c r="F252">
        <f t="shared" si="22"/>
        <v>7.78125</v>
      </c>
      <c r="G252">
        <f>_xlfn.CEILING.MATH($F252)</f>
        <v>8</v>
      </c>
      <c r="H252">
        <f t="shared" si="23"/>
        <v>-2.734375</v>
      </c>
    </row>
    <row r="253" spans="1:8" x14ac:dyDescent="0.3">
      <c r="A253">
        <v>250</v>
      </c>
      <c r="B253">
        <f t="shared" si="18"/>
        <v>31.25</v>
      </c>
      <c r="C253">
        <f t="shared" si="19"/>
        <v>31</v>
      </c>
      <c r="D253">
        <f t="shared" si="20"/>
        <v>32.125</v>
      </c>
      <c r="E253">
        <f t="shared" si="21"/>
        <v>32</v>
      </c>
      <c r="F253">
        <f t="shared" si="22"/>
        <v>7.8125</v>
      </c>
      <c r="G253">
        <f>_xlfn.CEILING.MATH($F253)</f>
        <v>8</v>
      </c>
      <c r="H253">
        <f t="shared" si="23"/>
        <v>-2.34375</v>
      </c>
    </row>
    <row r="254" spans="1:8" x14ac:dyDescent="0.3">
      <c r="A254">
        <v>251</v>
      </c>
      <c r="B254">
        <f t="shared" si="18"/>
        <v>31.375</v>
      </c>
      <c r="C254">
        <f t="shared" si="19"/>
        <v>31</v>
      </c>
      <c r="D254">
        <f t="shared" si="20"/>
        <v>32.25</v>
      </c>
      <c r="E254">
        <f t="shared" si="21"/>
        <v>32</v>
      </c>
      <c r="F254">
        <f t="shared" si="22"/>
        <v>7.84375</v>
      </c>
      <c r="G254">
        <f>_xlfn.CEILING.MATH($F254)</f>
        <v>8</v>
      </c>
      <c r="H254">
        <f t="shared" si="23"/>
        <v>-1.953125</v>
      </c>
    </row>
    <row r="255" spans="1:8" x14ac:dyDescent="0.3">
      <c r="A255">
        <v>252</v>
      </c>
      <c r="B255">
        <f t="shared" si="18"/>
        <v>31.5</v>
      </c>
      <c r="C255">
        <f t="shared" si="19"/>
        <v>31</v>
      </c>
      <c r="D255">
        <f t="shared" si="20"/>
        <v>32.375</v>
      </c>
      <c r="E255">
        <f t="shared" si="21"/>
        <v>32</v>
      </c>
      <c r="F255">
        <f t="shared" si="22"/>
        <v>7.875</v>
      </c>
      <c r="G255">
        <f>_xlfn.CEILING.MATH($F255)</f>
        <v>8</v>
      </c>
      <c r="H255">
        <f t="shared" si="23"/>
        <v>-1.5625</v>
      </c>
    </row>
    <row r="256" spans="1:8" x14ac:dyDescent="0.3">
      <c r="A256">
        <v>253</v>
      </c>
      <c r="B256">
        <f t="shared" si="18"/>
        <v>31.625</v>
      </c>
      <c r="C256">
        <f t="shared" si="19"/>
        <v>31</v>
      </c>
      <c r="D256">
        <f t="shared" si="20"/>
        <v>32.5</v>
      </c>
      <c r="E256">
        <f t="shared" si="21"/>
        <v>32</v>
      </c>
      <c r="F256">
        <f t="shared" si="22"/>
        <v>7.90625</v>
      </c>
      <c r="G256">
        <f>_xlfn.CEILING.MATH($F256)</f>
        <v>8</v>
      </c>
      <c r="H256">
        <f t="shared" si="23"/>
        <v>-1.171875</v>
      </c>
    </row>
    <row r="257" spans="1:8" x14ac:dyDescent="0.3">
      <c r="A257">
        <v>254</v>
      </c>
      <c r="B257">
        <f t="shared" si="18"/>
        <v>31.75</v>
      </c>
      <c r="C257">
        <f t="shared" si="19"/>
        <v>31</v>
      </c>
      <c r="D257">
        <f t="shared" si="20"/>
        <v>32.625</v>
      </c>
      <c r="E257">
        <f t="shared" si="21"/>
        <v>32</v>
      </c>
      <c r="F257">
        <f t="shared" si="22"/>
        <v>7.9375</v>
      </c>
      <c r="G257">
        <f>_xlfn.CEILING.MATH($F257)</f>
        <v>8</v>
      </c>
      <c r="H257">
        <f t="shared" si="23"/>
        <v>-0.78125</v>
      </c>
    </row>
    <row r="258" spans="1:8" x14ac:dyDescent="0.3">
      <c r="A258">
        <v>255</v>
      </c>
      <c r="B258">
        <f t="shared" si="18"/>
        <v>31.875</v>
      </c>
      <c r="C258">
        <f t="shared" si="19"/>
        <v>31</v>
      </c>
      <c r="D258">
        <f t="shared" si="20"/>
        <v>32.75</v>
      </c>
      <c r="E258">
        <f t="shared" si="21"/>
        <v>32</v>
      </c>
      <c r="F258">
        <f t="shared" si="22"/>
        <v>7.96875</v>
      </c>
      <c r="G258">
        <f>_xlfn.CEILING.MATH($F258)</f>
        <v>8</v>
      </c>
      <c r="H258">
        <f t="shared" si="23"/>
        <v>-0.390625</v>
      </c>
    </row>
    <row r="259" spans="1:8" x14ac:dyDescent="0.3">
      <c r="A259">
        <v>256</v>
      </c>
      <c r="B259">
        <f t="shared" si="18"/>
        <v>32</v>
      </c>
      <c r="C259">
        <f t="shared" si="19"/>
        <v>32</v>
      </c>
      <c r="D259">
        <f t="shared" si="20"/>
        <v>32.875</v>
      </c>
      <c r="E259">
        <f t="shared" si="21"/>
        <v>32</v>
      </c>
      <c r="F259">
        <f t="shared" si="22"/>
        <v>8</v>
      </c>
      <c r="G259">
        <f>_xlfn.CEILING.MATH($F259)</f>
        <v>8</v>
      </c>
      <c r="H259">
        <f t="shared" si="23"/>
        <v>0</v>
      </c>
    </row>
    <row r="260" spans="1:8" x14ac:dyDescent="0.3">
      <c r="A260">
        <v>257</v>
      </c>
      <c r="B260">
        <f t="shared" si="18"/>
        <v>32.125</v>
      </c>
      <c r="C260">
        <f t="shared" si="19"/>
        <v>32</v>
      </c>
      <c r="D260">
        <f t="shared" si="20"/>
        <v>33</v>
      </c>
      <c r="E260">
        <f t="shared" si="21"/>
        <v>33</v>
      </c>
      <c r="F260">
        <f t="shared" si="22"/>
        <v>7.7878787878787881</v>
      </c>
      <c r="G260">
        <f>_xlfn.CEILING.MATH($F260)</f>
        <v>8</v>
      </c>
      <c r="H260">
        <f t="shared" si="23"/>
        <v>-2.6515151515151492</v>
      </c>
    </row>
    <row r="261" spans="1:8" x14ac:dyDescent="0.3">
      <c r="A261">
        <v>258</v>
      </c>
      <c r="B261">
        <f t="shared" si="18"/>
        <v>32.25</v>
      </c>
      <c r="C261">
        <f t="shared" si="19"/>
        <v>32</v>
      </c>
      <c r="D261">
        <f t="shared" si="20"/>
        <v>33.125</v>
      </c>
      <c r="E261">
        <f t="shared" si="21"/>
        <v>33</v>
      </c>
      <c r="F261">
        <f t="shared" si="22"/>
        <v>7.8181818181818183</v>
      </c>
      <c r="G261">
        <f>_xlfn.CEILING.MATH($F261)</f>
        <v>8</v>
      </c>
      <c r="H261">
        <f t="shared" si="23"/>
        <v>-2.2727272727272707</v>
      </c>
    </row>
    <row r="262" spans="1:8" x14ac:dyDescent="0.3">
      <c r="A262">
        <v>259</v>
      </c>
      <c r="B262">
        <f t="shared" ref="B262:B325" si="24">$A262/8</f>
        <v>32.375</v>
      </c>
      <c r="C262">
        <f t="shared" ref="C262:C325" si="25">_xlfn.FLOOR.MATH($B262)</f>
        <v>32</v>
      </c>
      <c r="D262">
        <f t="shared" ref="D262:D325" si="26">($A262+7)/8</f>
        <v>33.25</v>
      </c>
      <c r="E262">
        <f t="shared" ref="E262:E325" si="27">_xlfn.FLOOR.MATH($D262)</f>
        <v>33</v>
      </c>
      <c r="F262">
        <f t="shared" ref="F262:F325" si="28">$A262/$E262</f>
        <v>7.8484848484848486</v>
      </c>
      <c r="G262">
        <f>_xlfn.CEILING.MATH($F262)</f>
        <v>8</v>
      </c>
      <c r="H262">
        <f t="shared" ref="H262:H325" si="29">($F262/8-1)*100</f>
        <v>-1.8939393939393923</v>
      </c>
    </row>
    <row r="263" spans="1:8" x14ac:dyDescent="0.3">
      <c r="A263">
        <v>260</v>
      </c>
      <c r="B263">
        <f t="shared" si="24"/>
        <v>32.5</v>
      </c>
      <c r="C263">
        <f t="shared" si="25"/>
        <v>32</v>
      </c>
      <c r="D263">
        <f t="shared" si="26"/>
        <v>33.375</v>
      </c>
      <c r="E263">
        <f t="shared" si="27"/>
        <v>33</v>
      </c>
      <c r="F263">
        <f t="shared" si="28"/>
        <v>7.8787878787878789</v>
      </c>
      <c r="G263">
        <f>_xlfn.CEILING.MATH($F263)</f>
        <v>8</v>
      </c>
      <c r="H263">
        <f t="shared" si="29"/>
        <v>-1.5151515151515138</v>
      </c>
    </row>
    <row r="264" spans="1:8" x14ac:dyDescent="0.3">
      <c r="A264">
        <v>261</v>
      </c>
      <c r="B264">
        <f t="shared" si="24"/>
        <v>32.625</v>
      </c>
      <c r="C264">
        <f t="shared" si="25"/>
        <v>32</v>
      </c>
      <c r="D264">
        <f t="shared" si="26"/>
        <v>33.5</v>
      </c>
      <c r="E264">
        <f t="shared" si="27"/>
        <v>33</v>
      </c>
      <c r="F264">
        <f t="shared" si="28"/>
        <v>7.9090909090909092</v>
      </c>
      <c r="G264">
        <f>_xlfn.CEILING.MATH($F264)</f>
        <v>8</v>
      </c>
      <c r="H264">
        <f t="shared" si="29"/>
        <v>-1.1363636363636354</v>
      </c>
    </row>
    <row r="265" spans="1:8" x14ac:dyDescent="0.3">
      <c r="A265">
        <v>262</v>
      </c>
      <c r="B265">
        <f t="shared" si="24"/>
        <v>32.75</v>
      </c>
      <c r="C265">
        <f t="shared" si="25"/>
        <v>32</v>
      </c>
      <c r="D265">
        <f t="shared" si="26"/>
        <v>33.625</v>
      </c>
      <c r="E265">
        <f t="shared" si="27"/>
        <v>33</v>
      </c>
      <c r="F265">
        <f t="shared" si="28"/>
        <v>7.9393939393939394</v>
      </c>
      <c r="G265">
        <f>_xlfn.CEILING.MATH($F265)</f>
        <v>8</v>
      </c>
      <c r="H265">
        <f t="shared" si="29"/>
        <v>-0.7575757575757569</v>
      </c>
    </row>
    <row r="266" spans="1:8" x14ac:dyDescent="0.3">
      <c r="A266">
        <v>263</v>
      </c>
      <c r="B266">
        <f t="shared" si="24"/>
        <v>32.875</v>
      </c>
      <c r="C266">
        <f t="shared" si="25"/>
        <v>32</v>
      </c>
      <c r="D266">
        <f t="shared" si="26"/>
        <v>33.75</v>
      </c>
      <c r="E266">
        <f t="shared" si="27"/>
        <v>33</v>
      </c>
      <c r="F266">
        <f t="shared" si="28"/>
        <v>7.9696969696969697</v>
      </c>
      <c r="G266">
        <f>_xlfn.CEILING.MATH($F266)</f>
        <v>8</v>
      </c>
      <c r="H266">
        <f t="shared" si="29"/>
        <v>-0.37878787878787845</v>
      </c>
    </row>
    <row r="267" spans="1:8" x14ac:dyDescent="0.3">
      <c r="A267">
        <v>264</v>
      </c>
      <c r="B267">
        <f t="shared" si="24"/>
        <v>33</v>
      </c>
      <c r="C267">
        <f t="shared" si="25"/>
        <v>33</v>
      </c>
      <c r="D267">
        <f t="shared" si="26"/>
        <v>33.875</v>
      </c>
      <c r="E267">
        <f t="shared" si="27"/>
        <v>33</v>
      </c>
      <c r="F267">
        <f t="shared" si="28"/>
        <v>8</v>
      </c>
      <c r="G267">
        <f>_xlfn.CEILING.MATH($F267)</f>
        <v>8</v>
      </c>
      <c r="H267">
        <f t="shared" si="29"/>
        <v>0</v>
      </c>
    </row>
    <row r="268" spans="1:8" x14ac:dyDescent="0.3">
      <c r="A268">
        <v>265</v>
      </c>
      <c r="B268">
        <f t="shared" si="24"/>
        <v>33.125</v>
      </c>
      <c r="C268">
        <f t="shared" si="25"/>
        <v>33</v>
      </c>
      <c r="D268">
        <f t="shared" si="26"/>
        <v>34</v>
      </c>
      <c r="E268">
        <f t="shared" si="27"/>
        <v>34</v>
      </c>
      <c r="F268">
        <f t="shared" si="28"/>
        <v>7.7941176470588234</v>
      </c>
      <c r="G268">
        <f>_xlfn.CEILING.MATH($F268)</f>
        <v>8</v>
      </c>
      <c r="H268">
        <f t="shared" si="29"/>
        <v>-2.5735294117647078</v>
      </c>
    </row>
    <row r="269" spans="1:8" x14ac:dyDescent="0.3">
      <c r="A269">
        <v>266</v>
      </c>
      <c r="B269">
        <f t="shared" si="24"/>
        <v>33.25</v>
      </c>
      <c r="C269">
        <f t="shared" si="25"/>
        <v>33</v>
      </c>
      <c r="D269">
        <f t="shared" si="26"/>
        <v>34.125</v>
      </c>
      <c r="E269">
        <f t="shared" si="27"/>
        <v>34</v>
      </c>
      <c r="F269">
        <f t="shared" si="28"/>
        <v>7.8235294117647056</v>
      </c>
      <c r="G269">
        <f>_xlfn.CEILING.MATH($F269)</f>
        <v>8</v>
      </c>
      <c r="H269">
        <f t="shared" si="29"/>
        <v>-2.2058823529411797</v>
      </c>
    </row>
    <row r="270" spans="1:8" x14ac:dyDescent="0.3">
      <c r="A270">
        <v>267</v>
      </c>
      <c r="B270">
        <f t="shared" si="24"/>
        <v>33.375</v>
      </c>
      <c r="C270">
        <f t="shared" si="25"/>
        <v>33</v>
      </c>
      <c r="D270">
        <f t="shared" si="26"/>
        <v>34.25</v>
      </c>
      <c r="E270">
        <f t="shared" si="27"/>
        <v>34</v>
      </c>
      <c r="F270">
        <f t="shared" si="28"/>
        <v>7.8529411764705879</v>
      </c>
      <c r="G270">
        <f>_xlfn.CEILING.MATH($F270)</f>
        <v>8</v>
      </c>
      <c r="H270">
        <f t="shared" si="29"/>
        <v>-1.8382352941176516</v>
      </c>
    </row>
    <row r="271" spans="1:8" x14ac:dyDescent="0.3">
      <c r="A271">
        <v>268</v>
      </c>
      <c r="B271">
        <f t="shared" si="24"/>
        <v>33.5</v>
      </c>
      <c r="C271">
        <f t="shared" si="25"/>
        <v>33</v>
      </c>
      <c r="D271">
        <f t="shared" si="26"/>
        <v>34.375</v>
      </c>
      <c r="E271">
        <f t="shared" si="27"/>
        <v>34</v>
      </c>
      <c r="F271">
        <f t="shared" si="28"/>
        <v>7.882352941176471</v>
      </c>
      <c r="G271">
        <f>_xlfn.CEILING.MATH($F271)</f>
        <v>8</v>
      </c>
      <c r="H271">
        <f t="shared" si="29"/>
        <v>-1.4705882352941124</v>
      </c>
    </row>
    <row r="272" spans="1:8" x14ac:dyDescent="0.3">
      <c r="A272">
        <v>269</v>
      </c>
      <c r="B272">
        <f t="shared" si="24"/>
        <v>33.625</v>
      </c>
      <c r="C272">
        <f t="shared" si="25"/>
        <v>33</v>
      </c>
      <c r="D272">
        <f t="shared" si="26"/>
        <v>34.5</v>
      </c>
      <c r="E272">
        <f t="shared" si="27"/>
        <v>34</v>
      </c>
      <c r="F272">
        <f t="shared" si="28"/>
        <v>7.9117647058823533</v>
      </c>
      <c r="G272">
        <f>_xlfn.CEILING.MATH($F272)</f>
        <v>8</v>
      </c>
      <c r="H272">
        <f t="shared" si="29"/>
        <v>-1.1029411764705843</v>
      </c>
    </row>
    <row r="273" spans="1:8" x14ac:dyDescent="0.3">
      <c r="A273">
        <v>270</v>
      </c>
      <c r="B273">
        <f t="shared" si="24"/>
        <v>33.75</v>
      </c>
      <c r="C273">
        <f t="shared" si="25"/>
        <v>33</v>
      </c>
      <c r="D273">
        <f t="shared" si="26"/>
        <v>34.625</v>
      </c>
      <c r="E273">
        <f t="shared" si="27"/>
        <v>34</v>
      </c>
      <c r="F273">
        <f t="shared" si="28"/>
        <v>7.9411764705882355</v>
      </c>
      <c r="G273">
        <f>_xlfn.CEILING.MATH($F273)</f>
        <v>8</v>
      </c>
      <c r="H273">
        <f t="shared" si="29"/>
        <v>-0.73529411764705621</v>
      </c>
    </row>
    <row r="274" spans="1:8" x14ac:dyDescent="0.3">
      <c r="A274">
        <v>271</v>
      </c>
      <c r="B274">
        <f t="shared" si="24"/>
        <v>33.875</v>
      </c>
      <c r="C274">
        <f t="shared" si="25"/>
        <v>33</v>
      </c>
      <c r="D274">
        <f t="shared" si="26"/>
        <v>34.75</v>
      </c>
      <c r="E274">
        <f t="shared" si="27"/>
        <v>34</v>
      </c>
      <c r="F274">
        <f t="shared" si="28"/>
        <v>7.9705882352941178</v>
      </c>
      <c r="G274">
        <f>_xlfn.CEILING.MATH($F274)</f>
        <v>8</v>
      </c>
      <c r="H274">
        <f t="shared" si="29"/>
        <v>-0.36764705882352811</v>
      </c>
    </row>
    <row r="275" spans="1:8" x14ac:dyDescent="0.3">
      <c r="A275">
        <v>272</v>
      </c>
      <c r="B275">
        <f t="shared" si="24"/>
        <v>34</v>
      </c>
      <c r="C275">
        <f t="shared" si="25"/>
        <v>34</v>
      </c>
      <c r="D275">
        <f t="shared" si="26"/>
        <v>34.875</v>
      </c>
      <c r="E275">
        <f t="shared" si="27"/>
        <v>34</v>
      </c>
      <c r="F275">
        <f t="shared" si="28"/>
        <v>8</v>
      </c>
      <c r="G275">
        <f>_xlfn.CEILING.MATH($F275)</f>
        <v>8</v>
      </c>
      <c r="H275">
        <f t="shared" si="29"/>
        <v>0</v>
      </c>
    </row>
    <row r="276" spans="1:8" x14ac:dyDescent="0.3">
      <c r="A276">
        <v>273</v>
      </c>
      <c r="B276">
        <f t="shared" si="24"/>
        <v>34.125</v>
      </c>
      <c r="C276">
        <f t="shared" si="25"/>
        <v>34</v>
      </c>
      <c r="D276">
        <f t="shared" si="26"/>
        <v>35</v>
      </c>
      <c r="E276">
        <f t="shared" si="27"/>
        <v>35</v>
      </c>
      <c r="F276">
        <f t="shared" si="28"/>
        <v>7.8</v>
      </c>
      <c r="G276">
        <f>_xlfn.CEILING.MATH($F276)</f>
        <v>8</v>
      </c>
      <c r="H276">
        <f t="shared" si="29"/>
        <v>-2.5000000000000022</v>
      </c>
    </row>
    <row r="277" spans="1:8" x14ac:dyDescent="0.3">
      <c r="A277">
        <v>274</v>
      </c>
      <c r="B277">
        <f t="shared" si="24"/>
        <v>34.25</v>
      </c>
      <c r="C277">
        <f t="shared" si="25"/>
        <v>34</v>
      </c>
      <c r="D277">
        <f t="shared" si="26"/>
        <v>35.125</v>
      </c>
      <c r="E277">
        <f t="shared" si="27"/>
        <v>35</v>
      </c>
      <c r="F277">
        <f t="shared" si="28"/>
        <v>7.8285714285714283</v>
      </c>
      <c r="G277">
        <f>_xlfn.CEILING.MATH($F277)</f>
        <v>8</v>
      </c>
      <c r="H277">
        <f t="shared" si="29"/>
        <v>-2.1428571428571463</v>
      </c>
    </row>
    <row r="278" spans="1:8" x14ac:dyDescent="0.3">
      <c r="A278">
        <v>275</v>
      </c>
      <c r="B278">
        <f t="shared" si="24"/>
        <v>34.375</v>
      </c>
      <c r="C278">
        <f t="shared" si="25"/>
        <v>34</v>
      </c>
      <c r="D278">
        <f t="shared" si="26"/>
        <v>35.25</v>
      </c>
      <c r="E278">
        <f t="shared" si="27"/>
        <v>35</v>
      </c>
      <c r="F278">
        <f t="shared" si="28"/>
        <v>7.8571428571428568</v>
      </c>
      <c r="G278">
        <f>_xlfn.CEILING.MATH($F278)</f>
        <v>8</v>
      </c>
      <c r="H278">
        <f t="shared" si="29"/>
        <v>-1.7857142857142905</v>
      </c>
    </row>
    <row r="279" spans="1:8" x14ac:dyDescent="0.3">
      <c r="A279">
        <v>276</v>
      </c>
      <c r="B279">
        <f t="shared" si="24"/>
        <v>34.5</v>
      </c>
      <c r="C279">
        <f t="shared" si="25"/>
        <v>34</v>
      </c>
      <c r="D279">
        <f t="shared" si="26"/>
        <v>35.375</v>
      </c>
      <c r="E279">
        <f t="shared" si="27"/>
        <v>35</v>
      </c>
      <c r="F279">
        <f t="shared" si="28"/>
        <v>7.8857142857142861</v>
      </c>
      <c r="G279">
        <f>_xlfn.CEILING.MATH($F279)</f>
        <v>8</v>
      </c>
      <c r="H279">
        <f t="shared" si="29"/>
        <v>-1.4285714285714235</v>
      </c>
    </row>
    <row r="280" spans="1:8" x14ac:dyDescent="0.3">
      <c r="A280">
        <v>277</v>
      </c>
      <c r="B280">
        <f t="shared" si="24"/>
        <v>34.625</v>
      </c>
      <c r="C280">
        <f t="shared" si="25"/>
        <v>34</v>
      </c>
      <c r="D280">
        <f t="shared" si="26"/>
        <v>35.5</v>
      </c>
      <c r="E280">
        <f t="shared" si="27"/>
        <v>35</v>
      </c>
      <c r="F280">
        <f t="shared" si="28"/>
        <v>7.9142857142857146</v>
      </c>
      <c r="G280">
        <f>_xlfn.CEILING.MATH($F280)</f>
        <v>8</v>
      </c>
      <c r="H280">
        <f t="shared" si="29"/>
        <v>-1.0714285714285676</v>
      </c>
    </row>
    <row r="281" spans="1:8" x14ac:dyDescent="0.3">
      <c r="A281">
        <v>278</v>
      </c>
      <c r="B281">
        <f t="shared" si="24"/>
        <v>34.75</v>
      </c>
      <c r="C281">
        <f t="shared" si="25"/>
        <v>34</v>
      </c>
      <c r="D281">
        <f t="shared" si="26"/>
        <v>35.625</v>
      </c>
      <c r="E281">
        <f t="shared" si="27"/>
        <v>35</v>
      </c>
      <c r="F281">
        <f t="shared" si="28"/>
        <v>7.9428571428571431</v>
      </c>
      <c r="G281">
        <f>_xlfn.CEILING.MATH($F281)</f>
        <v>8</v>
      </c>
      <c r="H281">
        <f t="shared" si="29"/>
        <v>-0.71428571428571175</v>
      </c>
    </row>
    <row r="282" spans="1:8" x14ac:dyDescent="0.3">
      <c r="A282">
        <v>279</v>
      </c>
      <c r="B282">
        <f t="shared" si="24"/>
        <v>34.875</v>
      </c>
      <c r="C282">
        <f t="shared" si="25"/>
        <v>34</v>
      </c>
      <c r="D282">
        <f t="shared" si="26"/>
        <v>35.75</v>
      </c>
      <c r="E282">
        <f t="shared" si="27"/>
        <v>35</v>
      </c>
      <c r="F282">
        <f t="shared" si="28"/>
        <v>7.9714285714285715</v>
      </c>
      <c r="G282">
        <f>_xlfn.CEILING.MATH($F282)</f>
        <v>8</v>
      </c>
      <c r="H282">
        <f t="shared" si="29"/>
        <v>-0.35714285714285587</v>
      </c>
    </row>
    <row r="283" spans="1:8" x14ac:dyDescent="0.3">
      <c r="A283">
        <v>280</v>
      </c>
      <c r="B283">
        <f t="shared" si="24"/>
        <v>35</v>
      </c>
      <c r="C283">
        <f t="shared" si="25"/>
        <v>35</v>
      </c>
      <c r="D283">
        <f t="shared" si="26"/>
        <v>35.875</v>
      </c>
      <c r="E283">
        <f t="shared" si="27"/>
        <v>35</v>
      </c>
      <c r="F283">
        <f t="shared" si="28"/>
        <v>8</v>
      </c>
      <c r="G283">
        <f>_xlfn.CEILING.MATH($F283)</f>
        <v>8</v>
      </c>
      <c r="H283">
        <f t="shared" si="29"/>
        <v>0</v>
      </c>
    </row>
    <row r="284" spans="1:8" x14ac:dyDescent="0.3">
      <c r="A284">
        <v>281</v>
      </c>
      <c r="B284">
        <f t="shared" si="24"/>
        <v>35.125</v>
      </c>
      <c r="C284">
        <f t="shared" si="25"/>
        <v>35</v>
      </c>
      <c r="D284">
        <f t="shared" si="26"/>
        <v>36</v>
      </c>
      <c r="E284">
        <f t="shared" si="27"/>
        <v>36</v>
      </c>
      <c r="F284">
        <f t="shared" si="28"/>
        <v>7.8055555555555554</v>
      </c>
      <c r="G284">
        <f>_xlfn.CEILING.MATH($F284)</f>
        <v>8</v>
      </c>
      <c r="H284">
        <f t="shared" si="29"/>
        <v>-2.430555555555558</v>
      </c>
    </row>
    <row r="285" spans="1:8" x14ac:dyDescent="0.3">
      <c r="A285">
        <v>282</v>
      </c>
      <c r="B285">
        <f t="shared" si="24"/>
        <v>35.25</v>
      </c>
      <c r="C285">
        <f t="shared" si="25"/>
        <v>35</v>
      </c>
      <c r="D285">
        <f t="shared" si="26"/>
        <v>36.125</v>
      </c>
      <c r="E285">
        <f t="shared" si="27"/>
        <v>36</v>
      </c>
      <c r="F285">
        <f t="shared" si="28"/>
        <v>7.833333333333333</v>
      </c>
      <c r="G285">
        <f>_xlfn.CEILING.MATH($F285)</f>
        <v>8</v>
      </c>
      <c r="H285">
        <f t="shared" si="29"/>
        <v>-2.083333333333337</v>
      </c>
    </row>
    <row r="286" spans="1:8" x14ac:dyDescent="0.3">
      <c r="A286">
        <v>283</v>
      </c>
      <c r="B286">
        <f t="shared" si="24"/>
        <v>35.375</v>
      </c>
      <c r="C286">
        <f t="shared" si="25"/>
        <v>35</v>
      </c>
      <c r="D286">
        <f t="shared" si="26"/>
        <v>36.25</v>
      </c>
      <c r="E286">
        <f t="shared" si="27"/>
        <v>36</v>
      </c>
      <c r="F286">
        <f t="shared" si="28"/>
        <v>7.8611111111111107</v>
      </c>
      <c r="G286">
        <f>_xlfn.CEILING.MATH($F286)</f>
        <v>8</v>
      </c>
      <c r="H286">
        <f t="shared" si="29"/>
        <v>-1.736111111111116</v>
      </c>
    </row>
    <row r="287" spans="1:8" x14ac:dyDescent="0.3">
      <c r="A287">
        <v>284</v>
      </c>
      <c r="B287">
        <f t="shared" si="24"/>
        <v>35.5</v>
      </c>
      <c r="C287">
        <f t="shared" si="25"/>
        <v>35</v>
      </c>
      <c r="D287">
        <f t="shared" si="26"/>
        <v>36.375</v>
      </c>
      <c r="E287">
        <f t="shared" si="27"/>
        <v>36</v>
      </c>
      <c r="F287">
        <f t="shared" si="28"/>
        <v>7.8888888888888893</v>
      </c>
      <c r="G287">
        <f>_xlfn.CEILING.MATH($F287)</f>
        <v>8</v>
      </c>
      <c r="H287">
        <f t="shared" si="29"/>
        <v>-1.388888888888884</v>
      </c>
    </row>
    <row r="288" spans="1:8" x14ac:dyDescent="0.3">
      <c r="A288">
        <v>285</v>
      </c>
      <c r="B288">
        <f t="shared" si="24"/>
        <v>35.625</v>
      </c>
      <c r="C288">
        <f t="shared" si="25"/>
        <v>35</v>
      </c>
      <c r="D288">
        <f t="shared" si="26"/>
        <v>36.5</v>
      </c>
      <c r="E288">
        <f t="shared" si="27"/>
        <v>36</v>
      </c>
      <c r="F288">
        <f t="shared" si="28"/>
        <v>7.916666666666667</v>
      </c>
      <c r="G288">
        <f>_xlfn.CEILING.MATH($F288)</f>
        <v>8</v>
      </c>
      <c r="H288">
        <f t="shared" si="29"/>
        <v>-1.041666666666663</v>
      </c>
    </row>
    <row r="289" spans="1:8" x14ac:dyDescent="0.3">
      <c r="A289">
        <v>286</v>
      </c>
      <c r="B289">
        <f t="shared" si="24"/>
        <v>35.75</v>
      </c>
      <c r="C289">
        <f t="shared" si="25"/>
        <v>35</v>
      </c>
      <c r="D289">
        <f t="shared" si="26"/>
        <v>36.625</v>
      </c>
      <c r="E289">
        <f t="shared" si="27"/>
        <v>36</v>
      </c>
      <c r="F289">
        <f t="shared" si="28"/>
        <v>7.9444444444444446</v>
      </c>
      <c r="G289">
        <f>_xlfn.CEILING.MATH($F289)</f>
        <v>8</v>
      </c>
      <c r="H289">
        <f t="shared" si="29"/>
        <v>-0.69444444444444198</v>
      </c>
    </row>
    <row r="290" spans="1:8" x14ac:dyDescent="0.3">
      <c r="A290">
        <v>287</v>
      </c>
      <c r="B290">
        <f t="shared" si="24"/>
        <v>35.875</v>
      </c>
      <c r="C290">
        <f t="shared" si="25"/>
        <v>35</v>
      </c>
      <c r="D290">
        <f t="shared" si="26"/>
        <v>36.75</v>
      </c>
      <c r="E290">
        <f t="shared" si="27"/>
        <v>36</v>
      </c>
      <c r="F290">
        <f t="shared" si="28"/>
        <v>7.9722222222222223</v>
      </c>
      <c r="G290">
        <f>_xlfn.CEILING.MATH($F290)</f>
        <v>8</v>
      </c>
      <c r="H290">
        <f t="shared" si="29"/>
        <v>-0.34722222222222099</v>
      </c>
    </row>
    <row r="291" spans="1:8" x14ac:dyDescent="0.3">
      <c r="A291">
        <v>288</v>
      </c>
      <c r="B291">
        <f t="shared" si="24"/>
        <v>36</v>
      </c>
      <c r="C291">
        <f t="shared" si="25"/>
        <v>36</v>
      </c>
      <c r="D291">
        <f t="shared" si="26"/>
        <v>36.875</v>
      </c>
      <c r="E291">
        <f t="shared" si="27"/>
        <v>36</v>
      </c>
      <c r="F291">
        <f t="shared" si="28"/>
        <v>8</v>
      </c>
      <c r="G291">
        <f>_xlfn.CEILING.MATH($F291)</f>
        <v>8</v>
      </c>
      <c r="H291">
        <f t="shared" si="29"/>
        <v>0</v>
      </c>
    </row>
    <row r="292" spans="1:8" x14ac:dyDescent="0.3">
      <c r="A292">
        <v>289</v>
      </c>
      <c r="B292">
        <f t="shared" si="24"/>
        <v>36.125</v>
      </c>
      <c r="C292">
        <f t="shared" si="25"/>
        <v>36</v>
      </c>
      <c r="D292">
        <f t="shared" si="26"/>
        <v>37</v>
      </c>
      <c r="E292">
        <f t="shared" si="27"/>
        <v>37</v>
      </c>
      <c r="F292">
        <f t="shared" si="28"/>
        <v>7.8108108108108105</v>
      </c>
      <c r="G292">
        <f>_xlfn.CEILING.MATH($F292)</f>
        <v>8</v>
      </c>
      <c r="H292">
        <f t="shared" si="29"/>
        <v>-2.3648648648648685</v>
      </c>
    </row>
    <row r="293" spans="1:8" x14ac:dyDescent="0.3">
      <c r="A293">
        <v>290</v>
      </c>
      <c r="B293">
        <f t="shared" si="24"/>
        <v>36.25</v>
      </c>
      <c r="C293">
        <f t="shared" si="25"/>
        <v>36</v>
      </c>
      <c r="D293">
        <f t="shared" si="26"/>
        <v>37.125</v>
      </c>
      <c r="E293">
        <f t="shared" si="27"/>
        <v>37</v>
      </c>
      <c r="F293">
        <f t="shared" si="28"/>
        <v>7.8378378378378377</v>
      </c>
      <c r="G293">
        <f>_xlfn.CEILING.MATH($F293)</f>
        <v>8</v>
      </c>
      <c r="H293">
        <f t="shared" si="29"/>
        <v>-2.0270270270270285</v>
      </c>
    </row>
    <row r="294" spans="1:8" x14ac:dyDescent="0.3">
      <c r="A294">
        <v>291</v>
      </c>
      <c r="B294">
        <f t="shared" si="24"/>
        <v>36.375</v>
      </c>
      <c r="C294">
        <f t="shared" si="25"/>
        <v>36</v>
      </c>
      <c r="D294">
        <f t="shared" si="26"/>
        <v>37.25</v>
      </c>
      <c r="E294">
        <f t="shared" si="27"/>
        <v>37</v>
      </c>
      <c r="F294">
        <f t="shared" si="28"/>
        <v>7.8648648648648649</v>
      </c>
      <c r="G294">
        <f>_xlfn.CEILING.MATH($F294)</f>
        <v>8</v>
      </c>
      <c r="H294">
        <f t="shared" si="29"/>
        <v>-1.6891891891891886</v>
      </c>
    </row>
    <row r="295" spans="1:8" x14ac:dyDescent="0.3">
      <c r="A295">
        <v>292</v>
      </c>
      <c r="B295">
        <f t="shared" si="24"/>
        <v>36.5</v>
      </c>
      <c r="C295">
        <f t="shared" si="25"/>
        <v>36</v>
      </c>
      <c r="D295">
        <f t="shared" si="26"/>
        <v>37.375</v>
      </c>
      <c r="E295">
        <f t="shared" si="27"/>
        <v>37</v>
      </c>
      <c r="F295">
        <f t="shared" si="28"/>
        <v>7.8918918918918921</v>
      </c>
      <c r="G295">
        <f>_xlfn.CEILING.MATH($F295)</f>
        <v>8</v>
      </c>
      <c r="H295">
        <f t="shared" si="29"/>
        <v>-1.3513513513513487</v>
      </c>
    </row>
    <row r="296" spans="1:8" x14ac:dyDescent="0.3">
      <c r="A296">
        <v>293</v>
      </c>
      <c r="B296">
        <f t="shared" si="24"/>
        <v>36.625</v>
      </c>
      <c r="C296">
        <f t="shared" si="25"/>
        <v>36</v>
      </c>
      <c r="D296">
        <f t="shared" si="26"/>
        <v>37.5</v>
      </c>
      <c r="E296">
        <f t="shared" si="27"/>
        <v>37</v>
      </c>
      <c r="F296">
        <f t="shared" si="28"/>
        <v>7.9189189189189193</v>
      </c>
      <c r="G296">
        <f>_xlfn.CEILING.MATH($F296)</f>
        <v>8</v>
      </c>
      <c r="H296">
        <f t="shared" si="29"/>
        <v>-1.0135135135135087</v>
      </c>
    </row>
    <row r="297" spans="1:8" x14ac:dyDescent="0.3">
      <c r="A297">
        <v>294</v>
      </c>
      <c r="B297">
        <f t="shared" si="24"/>
        <v>36.75</v>
      </c>
      <c r="C297">
        <f t="shared" si="25"/>
        <v>36</v>
      </c>
      <c r="D297">
        <f t="shared" si="26"/>
        <v>37.625</v>
      </c>
      <c r="E297">
        <f t="shared" si="27"/>
        <v>37</v>
      </c>
      <c r="F297">
        <f t="shared" si="28"/>
        <v>7.9459459459459456</v>
      </c>
      <c r="G297">
        <f>_xlfn.CEILING.MATH($F297)</f>
        <v>8</v>
      </c>
      <c r="H297">
        <f t="shared" si="29"/>
        <v>-0.67567567567567988</v>
      </c>
    </row>
    <row r="298" spans="1:8" x14ac:dyDescent="0.3">
      <c r="A298">
        <v>295</v>
      </c>
      <c r="B298">
        <f t="shared" si="24"/>
        <v>36.875</v>
      </c>
      <c r="C298">
        <f t="shared" si="25"/>
        <v>36</v>
      </c>
      <c r="D298">
        <f t="shared" si="26"/>
        <v>37.75</v>
      </c>
      <c r="E298">
        <f t="shared" si="27"/>
        <v>37</v>
      </c>
      <c r="F298">
        <f t="shared" si="28"/>
        <v>7.9729729729729728</v>
      </c>
      <c r="G298">
        <f>_xlfn.CEILING.MATH($F298)</f>
        <v>8</v>
      </c>
      <c r="H298">
        <f t="shared" si="29"/>
        <v>-0.33783783783783994</v>
      </c>
    </row>
    <row r="299" spans="1:8" x14ac:dyDescent="0.3">
      <c r="A299">
        <v>296</v>
      </c>
      <c r="B299">
        <f t="shared" si="24"/>
        <v>37</v>
      </c>
      <c r="C299">
        <f t="shared" si="25"/>
        <v>37</v>
      </c>
      <c r="D299">
        <f t="shared" si="26"/>
        <v>37.875</v>
      </c>
      <c r="E299">
        <f t="shared" si="27"/>
        <v>37</v>
      </c>
      <c r="F299">
        <f t="shared" si="28"/>
        <v>8</v>
      </c>
      <c r="G299">
        <f>_xlfn.CEILING.MATH($F299)</f>
        <v>8</v>
      </c>
      <c r="H299">
        <f t="shared" si="29"/>
        <v>0</v>
      </c>
    </row>
    <row r="300" spans="1:8" x14ac:dyDescent="0.3">
      <c r="A300">
        <v>297</v>
      </c>
      <c r="B300">
        <f t="shared" si="24"/>
        <v>37.125</v>
      </c>
      <c r="C300">
        <f t="shared" si="25"/>
        <v>37</v>
      </c>
      <c r="D300">
        <f t="shared" si="26"/>
        <v>38</v>
      </c>
      <c r="E300">
        <f t="shared" si="27"/>
        <v>38</v>
      </c>
      <c r="F300">
        <f t="shared" si="28"/>
        <v>7.8157894736842106</v>
      </c>
      <c r="G300">
        <f>_xlfn.CEILING.MATH($F300)</f>
        <v>8</v>
      </c>
      <c r="H300">
        <f t="shared" si="29"/>
        <v>-2.3026315789473673</v>
      </c>
    </row>
    <row r="301" spans="1:8" x14ac:dyDescent="0.3">
      <c r="A301">
        <v>298</v>
      </c>
      <c r="B301">
        <f t="shared" si="24"/>
        <v>37.25</v>
      </c>
      <c r="C301">
        <f t="shared" si="25"/>
        <v>37</v>
      </c>
      <c r="D301">
        <f t="shared" si="26"/>
        <v>38.125</v>
      </c>
      <c r="E301">
        <f t="shared" si="27"/>
        <v>38</v>
      </c>
      <c r="F301">
        <f t="shared" si="28"/>
        <v>7.8421052631578947</v>
      </c>
      <c r="G301">
        <f>_xlfn.CEILING.MATH($F301)</f>
        <v>8</v>
      </c>
      <c r="H301">
        <f t="shared" si="29"/>
        <v>-1.9736842105263164</v>
      </c>
    </row>
    <row r="302" spans="1:8" x14ac:dyDescent="0.3">
      <c r="A302">
        <v>299</v>
      </c>
      <c r="B302">
        <f t="shared" si="24"/>
        <v>37.375</v>
      </c>
      <c r="C302">
        <f t="shared" si="25"/>
        <v>37</v>
      </c>
      <c r="D302">
        <f t="shared" si="26"/>
        <v>38.25</v>
      </c>
      <c r="E302">
        <f t="shared" si="27"/>
        <v>38</v>
      </c>
      <c r="F302">
        <f t="shared" si="28"/>
        <v>7.8684210526315788</v>
      </c>
      <c r="G302">
        <f>_xlfn.CEILING.MATH($F302)</f>
        <v>8</v>
      </c>
      <c r="H302">
        <f t="shared" si="29"/>
        <v>-1.6447368421052655</v>
      </c>
    </row>
    <row r="303" spans="1:8" x14ac:dyDescent="0.3">
      <c r="A303">
        <v>300</v>
      </c>
      <c r="B303">
        <f t="shared" si="24"/>
        <v>37.5</v>
      </c>
      <c r="C303">
        <f t="shared" si="25"/>
        <v>37</v>
      </c>
      <c r="D303">
        <f t="shared" si="26"/>
        <v>38.375</v>
      </c>
      <c r="E303">
        <f t="shared" si="27"/>
        <v>38</v>
      </c>
      <c r="F303">
        <f t="shared" si="28"/>
        <v>7.8947368421052628</v>
      </c>
      <c r="G303">
        <f>_xlfn.CEILING.MATH($F303)</f>
        <v>8</v>
      </c>
      <c r="H303">
        <f t="shared" si="29"/>
        <v>-1.3157894736842146</v>
      </c>
    </row>
    <row r="304" spans="1:8" x14ac:dyDescent="0.3">
      <c r="A304">
        <v>301</v>
      </c>
      <c r="B304">
        <f t="shared" si="24"/>
        <v>37.625</v>
      </c>
      <c r="C304">
        <f t="shared" si="25"/>
        <v>37</v>
      </c>
      <c r="D304">
        <f t="shared" si="26"/>
        <v>38.5</v>
      </c>
      <c r="E304">
        <f t="shared" si="27"/>
        <v>38</v>
      </c>
      <c r="F304">
        <f t="shared" si="28"/>
        <v>7.9210526315789478</v>
      </c>
      <c r="G304">
        <f>_xlfn.CEILING.MATH($F304)</f>
        <v>8</v>
      </c>
      <c r="H304">
        <f t="shared" si="29"/>
        <v>-0.98684210526315264</v>
      </c>
    </row>
    <row r="305" spans="1:8" x14ac:dyDescent="0.3">
      <c r="A305">
        <v>302</v>
      </c>
      <c r="B305">
        <f t="shared" si="24"/>
        <v>37.75</v>
      </c>
      <c r="C305">
        <f t="shared" si="25"/>
        <v>37</v>
      </c>
      <c r="D305">
        <f t="shared" si="26"/>
        <v>38.625</v>
      </c>
      <c r="E305">
        <f t="shared" si="27"/>
        <v>38</v>
      </c>
      <c r="F305">
        <f t="shared" si="28"/>
        <v>7.9473684210526319</v>
      </c>
      <c r="G305">
        <f>_xlfn.CEILING.MATH($F305)</f>
        <v>8</v>
      </c>
      <c r="H305">
        <f t="shared" si="29"/>
        <v>-0.65789473684210176</v>
      </c>
    </row>
    <row r="306" spans="1:8" x14ac:dyDescent="0.3">
      <c r="A306">
        <v>303</v>
      </c>
      <c r="B306">
        <f t="shared" si="24"/>
        <v>37.875</v>
      </c>
      <c r="C306">
        <f t="shared" si="25"/>
        <v>37</v>
      </c>
      <c r="D306">
        <f t="shared" si="26"/>
        <v>38.75</v>
      </c>
      <c r="E306">
        <f t="shared" si="27"/>
        <v>38</v>
      </c>
      <c r="F306">
        <f t="shared" si="28"/>
        <v>7.9736842105263159</v>
      </c>
      <c r="G306">
        <f>_xlfn.CEILING.MATH($F306)</f>
        <v>8</v>
      </c>
      <c r="H306">
        <f t="shared" si="29"/>
        <v>-0.32894736842105088</v>
      </c>
    </row>
    <row r="307" spans="1:8" x14ac:dyDescent="0.3">
      <c r="A307">
        <v>304</v>
      </c>
      <c r="B307">
        <f t="shared" si="24"/>
        <v>38</v>
      </c>
      <c r="C307">
        <f t="shared" si="25"/>
        <v>38</v>
      </c>
      <c r="D307">
        <f t="shared" si="26"/>
        <v>38.875</v>
      </c>
      <c r="E307">
        <f t="shared" si="27"/>
        <v>38</v>
      </c>
      <c r="F307">
        <f t="shared" si="28"/>
        <v>8</v>
      </c>
      <c r="G307">
        <f>_xlfn.CEILING.MATH($F307)</f>
        <v>8</v>
      </c>
      <c r="H307">
        <f t="shared" si="29"/>
        <v>0</v>
      </c>
    </row>
    <row r="308" spans="1:8" x14ac:dyDescent="0.3">
      <c r="A308">
        <v>305</v>
      </c>
      <c r="B308">
        <f t="shared" si="24"/>
        <v>38.125</v>
      </c>
      <c r="C308">
        <f t="shared" si="25"/>
        <v>38</v>
      </c>
      <c r="D308">
        <f t="shared" si="26"/>
        <v>39</v>
      </c>
      <c r="E308">
        <f t="shared" si="27"/>
        <v>39</v>
      </c>
      <c r="F308">
        <f t="shared" si="28"/>
        <v>7.8205128205128203</v>
      </c>
      <c r="G308">
        <f>_xlfn.CEILING.MATH($F308)</f>
        <v>8</v>
      </c>
      <c r="H308">
        <f t="shared" si="29"/>
        <v>-2.2435897435897467</v>
      </c>
    </row>
    <row r="309" spans="1:8" x14ac:dyDescent="0.3">
      <c r="A309">
        <v>306</v>
      </c>
      <c r="B309">
        <f t="shared" si="24"/>
        <v>38.25</v>
      </c>
      <c r="C309">
        <f t="shared" si="25"/>
        <v>38</v>
      </c>
      <c r="D309">
        <f t="shared" si="26"/>
        <v>39.125</v>
      </c>
      <c r="E309">
        <f t="shared" si="27"/>
        <v>39</v>
      </c>
      <c r="F309">
        <f t="shared" si="28"/>
        <v>7.8461538461538458</v>
      </c>
      <c r="G309">
        <f>_xlfn.CEILING.MATH($F309)</f>
        <v>8</v>
      </c>
      <c r="H309">
        <f t="shared" si="29"/>
        <v>-1.9230769230769273</v>
      </c>
    </row>
    <row r="310" spans="1:8" x14ac:dyDescent="0.3">
      <c r="A310">
        <v>307</v>
      </c>
      <c r="B310">
        <f t="shared" si="24"/>
        <v>38.375</v>
      </c>
      <c r="C310">
        <f t="shared" si="25"/>
        <v>38</v>
      </c>
      <c r="D310">
        <f t="shared" si="26"/>
        <v>39.25</v>
      </c>
      <c r="E310">
        <f t="shared" si="27"/>
        <v>39</v>
      </c>
      <c r="F310">
        <f t="shared" si="28"/>
        <v>7.8717948717948714</v>
      </c>
      <c r="G310">
        <f>_xlfn.CEILING.MATH($F310)</f>
        <v>8</v>
      </c>
      <c r="H310">
        <f t="shared" si="29"/>
        <v>-1.602564102564108</v>
      </c>
    </row>
    <row r="311" spans="1:8" x14ac:dyDescent="0.3">
      <c r="A311">
        <v>308</v>
      </c>
      <c r="B311">
        <f t="shared" si="24"/>
        <v>38.5</v>
      </c>
      <c r="C311">
        <f t="shared" si="25"/>
        <v>38</v>
      </c>
      <c r="D311">
        <f t="shared" si="26"/>
        <v>39.375</v>
      </c>
      <c r="E311">
        <f t="shared" si="27"/>
        <v>39</v>
      </c>
      <c r="F311">
        <f t="shared" si="28"/>
        <v>7.8974358974358978</v>
      </c>
      <c r="G311">
        <f>_xlfn.CEILING.MATH($F311)</f>
        <v>8</v>
      </c>
      <c r="H311">
        <f t="shared" si="29"/>
        <v>-1.2820512820512775</v>
      </c>
    </row>
    <row r="312" spans="1:8" x14ac:dyDescent="0.3">
      <c r="A312">
        <v>309</v>
      </c>
      <c r="B312">
        <f t="shared" si="24"/>
        <v>38.625</v>
      </c>
      <c r="C312">
        <f t="shared" si="25"/>
        <v>38</v>
      </c>
      <c r="D312">
        <f t="shared" si="26"/>
        <v>39.5</v>
      </c>
      <c r="E312">
        <f t="shared" si="27"/>
        <v>39</v>
      </c>
      <c r="F312">
        <f t="shared" si="28"/>
        <v>7.9230769230769234</v>
      </c>
      <c r="G312">
        <f>_xlfn.CEILING.MATH($F312)</f>
        <v>8</v>
      </c>
      <c r="H312">
        <f t="shared" si="29"/>
        <v>-0.96153846153845812</v>
      </c>
    </row>
    <row r="313" spans="1:8" x14ac:dyDescent="0.3">
      <c r="A313">
        <v>310</v>
      </c>
      <c r="B313">
        <f t="shared" si="24"/>
        <v>38.75</v>
      </c>
      <c r="C313">
        <f t="shared" si="25"/>
        <v>38</v>
      </c>
      <c r="D313">
        <f t="shared" si="26"/>
        <v>39.625</v>
      </c>
      <c r="E313">
        <f t="shared" si="27"/>
        <v>39</v>
      </c>
      <c r="F313">
        <f t="shared" si="28"/>
        <v>7.9487179487179489</v>
      </c>
      <c r="G313">
        <f>_xlfn.CEILING.MATH($F313)</f>
        <v>8</v>
      </c>
      <c r="H313">
        <f t="shared" si="29"/>
        <v>-0.64102564102563875</v>
      </c>
    </row>
    <row r="314" spans="1:8" x14ac:dyDescent="0.3">
      <c r="A314">
        <v>311</v>
      </c>
      <c r="B314">
        <f t="shared" si="24"/>
        <v>38.875</v>
      </c>
      <c r="C314">
        <f t="shared" si="25"/>
        <v>38</v>
      </c>
      <c r="D314">
        <f t="shared" si="26"/>
        <v>39.75</v>
      </c>
      <c r="E314">
        <f t="shared" si="27"/>
        <v>39</v>
      </c>
      <c r="F314">
        <f t="shared" si="28"/>
        <v>7.9743589743589745</v>
      </c>
      <c r="G314">
        <f>_xlfn.CEILING.MATH($F314)</f>
        <v>8</v>
      </c>
      <c r="H314">
        <f t="shared" si="29"/>
        <v>-0.32051282051281937</v>
      </c>
    </row>
    <row r="315" spans="1:8" x14ac:dyDescent="0.3">
      <c r="A315">
        <v>312</v>
      </c>
      <c r="B315">
        <f t="shared" si="24"/>
        <v>39</v>
      </c>
      <c r="C315">
        <f t="shared" si="25"/>
        <v>39</v>
      </c>
      <c r="D315">
        <f t="shared" si="26"/>
        <v>39.875</v>
      </c>
      <c r="E315">
        <f t="shared" si="27"/>
        <v>39</v>
      </c>
      <c r="F315">
        <f t="shared" si="28"/>
        <v>8</v>
      </c>
      <c r="G315">
        <f>_xlfn.CEILING.MATH($F315)</f>
        <v>8</v>
      </c>
      <c r="H315">
        <f t="shared" si="29"/>
        <v>0</v>
      </c>
    </row>
    <row r="316" spans="1:8" x14ac:dyDescent="0.3">
      <c r="A316">
        <v>313</v>
      </c>
      <c r="B316">
        <f t="shared" si="24"/>
        <v>39.125</v>
      </c>
      <c r="C316">
        <f t="shared" si="25"/>
        <v>39</v>
      </c>
      <c r="D316">
        <f t="shared" si="26"/>
        <v>40</v>
      </c>
      <c r="E316">
        <f t="shared" si="27"/>
        <v>40</v>
      </c>
      <c r="F316">
        <f t="shared" si="28"/>
        <v>7.8250000000000002</v>
      </c>
      <c r="G316">
        <f>_xlfn.CEILING.MATH($F316)</f>
        <v>8</v>
      </c>
      <c r="H316">
        <f t="shared" si="29"/>
        <v>-2.1874999999999978</v>
      </c>
    </row>
    <row r="317" spans="1:8" x14ac:dyDescent="0.3">
      <c r="A317">
        <v>314</v>
      </c>
      <c r="B317">
        <f t="shared" si="24"/>
        <v>39.25</v>
      </c>
      <c r="C317">
        <f t="shared" si="25"/>
        <v>39</v>
      </c>
      <c r="D317">
        <f t="shared" si="26"/>
        <v>40.125</v>
      </c>
      <c r="E317">
        <f t="shared" si="27"/>
        <v>40</v>
      </c>
      <c r="F317">
        <f t="shared" si="28"/>
        <v>7.85</v>
      </c>
      <c r="G317">
        <f>_xlfn.CEILING.MATH($F317)</f>
        <v>8</v>
      </c>
      <c r="H317">
        <f t="shared" si="29"/>
        <v>-1.8750000000000044</v>
      </c>
    </row>
    <row r="318" spans="1:8" x14ac:dyDescent="0.3">
      <c r="A318">
        <v>315</v>
      </c>
      <c r="B318">
        <f t="shared" si="24"/>
        <v>39.375</v>
      </c>
      <c r="C318">
        <f t="shared" si="25"/>
        <v>39</v>
      </c>
      <c r="D318">
        <f t="shared" si="26"/>
        <v>40.25</v>
      </c>
      <c r="E318">
        <f t="shared" si="27"/>
        <v>40</v>
      </c>
      <c r="F318">
        <f t="shared" si="28"/>
        <v>7.875</v>
      </c>
      <c r="G318">
        <f>_xlfn.CEILING.MATH($F318)</f>
        <v>8</v>
      </c>
      <c r="H318">
        <f t="shared" si="29"/>
        <v>-1.5625</v>
      </c>
    </row>
    <row r="319" spans="1:8" x14ac:dyDescent="0.3">
      <c r="A319">
        <v>316</v>
      </c>
      <c r="B319">
        <f t="shared" si="24"/>
        <v>39.5</v>
      </c>
      <c r="C319">
        <f t="shared" si="25"/>
        <v>39</v>
      </c>
      <c r="D319">
        <f t="shared" si="26"/>
        <v>40.375</v>
      </c>
      <c r="E319">
        <f t="shared" si="27"/>
        <v>40</v>
      </c>
      <c r="F319">
        <f t="shared" si="28"/>
        <v>7.9</v>
      </c>
      <c r="G319">
        <f>_xlfn.CEILING.MATH($F319)</f>
        <v>8</v>
      </c>
      <c r="H319">
        <f t="shared" si="29"/>
        <v>-1.2499999999999956</v>
      </c>
    </row>
    <row r="320" spans="1:8" x14ac:dyDescent="0.3">
      <c r="A320">
        <v>317</v>
      </c>
      <c r="B320">
        <f t="shared" si="24"/>
        <v>39.625</v>
      </c>
      <c r="C320">
        <f t="shared" si="25"/>
        <v>39</v>
      </c>
      <c r="D320">
        <f t="shared" si="26"/>
        <v>40.5</v>
      </c>
      <c r="E320">
        <f t="shared" si="27"/>
        <v>40</v>
      </c>
      <c r="F320">
        <f t="shared" si="28"/>
        <v>7.9249999999999998</v>
      </c>
      <c r="G320">
        <f>_xlfn.CEILING.MATH($F320)</f>
        <v>8</v>
      </c>
      <c r="H320">
        <f t="shared" si="29"/>
        <v>-0.93750000000000222</v>
      </c>
    </row>
    <row r="321" spans="1:8" x14ac:dyDescent="0.3">
      <c r="A321">
        <v>318</v>
      </c>
      <c r="B321">
        <f t="shared" si="24"/>
        <v>39.75</v>
      </c>
      <c r="C321">
        <f t="shared" si="25"/>
        <v>39</v>
      </c>
      <c r="D321">
        <f t="shared" si="26"/>
        <v>40.625</v>
      </c>
      <c r="E321">
        <f t="shared" si="27"/>
        <v>40</v>
      </c>
      <c r="F321">
        <f t="shared" si="28"/>
        <v>7.95</v>
      </c>
      <c r="G321">
        <f>_xlfn.CEILING.MATH($F321)</f>
        <v>8</v>
      </c>
      <c r="H321">
        <f t="shared" si="29"/>
        <v>-0.62499999999999778</v>
      </c>
    </row>
    <row r="322" spans="1:8" x14ac:dyDescent="0.3">
      <c r="A322">
        <v>319</v>
      </c>
      <c r="B322">
        <f t="shared" si="24"/>
        <v>39.875</v>
      </c>
      <c r="C322">
        <f t="shared" si="25"/>
        <v>39</v>
      </c>
      <c r="D322">
        <f t="shared" si="26"/>
        <v>40.75</v>
      </c>
      <c r="E322">
        <f t="shared" si="27"/>
        <v>40</v>
      </c>
      <c r="F322">
        <f t="shared" si="28"/>
        <v>7.9749999999999996</v>
      </c>
      <c r="G322">
        <f>_xlfn.CEILING.MATH($F322)</f>
        <v>8</v>
      </c>
      <c r="H322">
        <f t="shared" si="29"/>
        <v>-0.31250000000000444</v>
      </c>
    </row>
    <row r="323" spans="1:8" x14ac:dyDescent="0.3">
      <c r="A323">
        <v>320</v>
      </c>
      <c r="B323">
        <f t="shared" si="24"/>
        <v>40</v>
      </c>
      <c r="C323">
        <f t="shared" si="25"/>
        <v>40</v>
      </c>
      <c r="D323">
        <f t="shared" si="26"/>
        <v>40.875</v>
      </c>
      <c r="E323">
        <f t="shared" si="27"/>
        <v>40</v>
      </c>
      <c r="F323">
        <f t="shared" si="28"/>
        <v>8</v>
      </c>
      <c r="G323">
        <f>_xlfn.CEILING.MATH($F323)</f>
        <v>8</v>
      </c>
      <c r="H323">
        <f t="shared" si="29"/>
        <v>0</v>
      </c>
    </row>
    <row r="324" spans="1:8" x14ac:dyDescent="0.3">
      <c r="A324">
        <v>321</v>
      </c>
      <c r="B324">
        <f t="shared" si="24"/>
        <v>40.125</v>
      </c>
      <c r="C324">
        <f t="shared" si="25"/>
        <v>40</v>
      </c>
      <c r="D324">
        <f t="shared" si="26"/>
        <v>41</v>
      </c>
      <c r="E324">
        <f t="shared" si="27"/>
        <v>41</v>
      </c>
      <c r="F324">
        <f t="shared" si="28"/>
        <v>7.8292682926829267</v>
      </c>
      <c r="G324">
        <f>_xlfn.CEILING.MATH($F324)</f>
        <v>8</v>
      </c>
      <c r="H324">
        <f t="shared" si="29"/>
        <v>-2.1341463414634165</v>
      </c>
    </row>
    <row r="325" spans="1:8" x14ac:dyDescent="0.3">
      <c r="A325">
        <v>322</v>
      </c>
      <c r="B325">
        <f t="shared" si="24"/>
        <v>40.25</v>
      </c>
      <c r="C325">
        <f t="shared" si="25"/>
        <v>40</v>
      </c>
      <c r="D325">
        <f t="shared" si="26"/>
        <v>41.125</v>
      </c>
      <c r="E325">
        <f t="shared" si="27"/>
        <v>41</v>
      </c>
      <c r="F325">
        <f t="shared" si="28"/>
        <v>7.8536585365853657</v>
      </c>
      <c r="G325">
        <f>_xlfn.CEILING.MATH($F325)</f>
        <v>8</v>
      </c>
      <c r="H325">
        <f t="shared" si="29"/>
        <v>-1.8292682926829285</v>
      </c>
    </row>
    <row r="326" spans="1:8" x14ac:dyDescent="0.3">
      <c r="A326">
        <v>323</v>
      </c>
      <c r="B326">
        <f t="shared" ref="B326:B389" si="30">$A326/8</f>
        <v>40.375</v>
      </c>
      <c r="C326">
        <f t="shared" ref="C326:C389" si="31">_xlfn.FLOOR.MATH($B326)</f>
        <v>40</v>
      </c>
      <c r="D326">
        <f t="shared" ref="D326:D389" si="32">($A326+7)/8</f>
        <v>41.25</v>
      </c>
      <c r="E326">
        <f t="shared" ref="E326:E389" si="33">_xlfn.FLOOR.MATH($D326)</f>
        <v>41</v>
      </c>
      <c r="F326">
        <f t="shared" ref="F326:F389" si="34">$A326/$E326</f>
        <v>7.8780487804878048</v>
      </c>
      <c r="G326">
        <f>_xlfn.CEILING.MATH($F326)</f>
        <v>8</v>
      </c>
      <c r="H326">
        <f t="shared" ref="H326:H389" si="35">($F326/8-1)*100</f>
        <v>-1.5243902439024404</v>
      </c>
    </row>
    <row r="327" spans="1:8" x14ac:dyDescent="0.3">
      <c r="A327">
        <v>324</v>
      </c>
      <c r="B327">
        <f t="shared" si="30"/>
        <v>40.5</v>
      </c>
      <c r="C327">
        <f t="shared" si="31"/>
        <v>40</v>
      </c>
      <c r="D327">
        <f t="shared" si="32"/>
        <v>41.375</v>
      </c>
      <c r="E327">
        <f t="shared" si="33"/>
        <v>41</v>
      </c>
      <c r="F327">
        <f t="shared" si="34"/>
        <v>7.9024390243902438</v>
      </c>
      <c r="G327">
        <f>_xlfn.CEILING.MATH($F327)</f>
        <v>8</v>
      </c>
      <c r="H327">
        <f t="shared" si="35"/>
        <v>-1.2195121951219523</v>
      </c>
    </row>
    <row r="328" spans="1:8" x14ac:dyDescent="0.3">
      <c r="A328">
        <v>325</v>
      </c>
      <c r="B328">
        <f t="shared" si="30"/>
        <v>40.625</v>
      </c>
      <c r="C328">
        <f t="shared" si="31"/>
        <v>40</v>
      </c>
      <c r="D328">
        <f t="shared" si="32"/>
        <v>41.5</v>
      </c>
      <c r="E328">
        <f t="shared" si="33"/>
        <v>41</v>
      </c>
      <c r="F328">
        <f t="shared" si="34"/>
        <v>7.9268292682926829</v>
      </c>
      <c r="G328">
        <f>_xlfn.CEILING.MATH($F328)</f>
        <v>8</v>
      </c>
      <c r="H328">
        <f t="shared" si="35"/>
        <v>-0.91463414634146423</v>
      </c>
    </row>
    <row r="329" spans="1:8" x14ac:dyDescent="0.3">
      <c r="A329">
        <v>326</v>
      </c>
      <c r="B329">
        <f t="shared" si="30"/>
        <v>40.75</v>
      </c>
      <c r="C329">
        <f t="shared" si="31"/>
        <v>40</v>
      </c>
      <c r="D329">
        <f t="shared" si="32"/>
        <v>41.625</v>
      </c>
      <c r="E329">
        <f t="shared" si="33"/>
        <v>41</v>
      </c>
      <c r="F329">
        <f t="shared" si="34"/>
        <v>7.9512195121951219</v>
      </c>
      <c r="G329">
        <f>_xlfn.CEILING.MATH($F329)</f>
        <v>8</v>
      </c>
      <c r="H329">
        <f t="shared" si="35"/>
        <v>-0.60975609756097615</v>
      </c>
    </row>
    <row r="330" spans="1:8" x14ac:dyDescent="0.3">
      <c r="A330">
        <v>327</v>
      </c>
      <c r="B330">
        <f t="shared" si="30"/>
        <v>40.875</v>
      </c>
      <c r="C330">
        <f t="shared" si="31"/>
        <v>40</v>
      </c>
      <c r="D330">
        <f t="shared" si="32"/>
        <v>41.75</v>
      </c>
      <c r="E330">
        <f t="shared" si="33"/>
        <v>41</v>
      </c>
      <c r="F330">
        <f t="shared" si="34"/>
        <v>7.975609756097561</v>
      </c>
      <c r="G330">
        <f>_xlfn.CEILING.MATH($F330)</f>
        <v>8</v>
      </c>
      <c r="H330">
        <f t="shared" si="35"/>
        <v>-0.30487804878048808</v>
      </c>
    </row>
    <row r="331" spans="1:8" x14ac:dyDescent="0.3">
      <c r="A331">
        <v>328</v>
      </c>
      <c r="B331">
        <f t="shared" si="30"/>
        <v>41</v>
      </c>
      <c r="C331">
        <f t="shared" si="31"/>
        <v>41</v>
      </c>
      <c r="D331">
        <f t="shared" si="32"/>
        <v>41.875</v>
      </c>
      <c r="E331">
        <f t="shared" si="33"/>
        <v>41</v>
      </c>
      <c r="F331">
        <f t="shared" si="34"/>
        <v>8</v>
      </c>
      <c r="G331">
        <f>_xlfn.CEILING.MATH($F331)</f>
        <v>8</v>
      </c>
      <c r="H331">
        <f t="shared" si="35"/>
        <v>0</v>
      </c>
    </row>
    <row r="332" spans="1:8" x14ac:dyDescent="0.3">
      <c r="A332">
        <v>329</v>
      </c>
      <c r="B332">
        <f t="shared" si="30"/>
        <v>41.125</v>
      </c>
      <c r="C332">
        <f t="shared" si="31"/>
        <v>41</v>
      </c>
      <c r="D332">
        <f t="shared" si="32"/>
        <v>42</v>
      </c>
      <c r="E332">
        <f t="shared" si="33"/>
        <v>42</v>
      </c>
      <c r="F332">
        <f t="shared" si="34"/>
        <v>7.833333333333333</v>
      </c>
      <c r="G332">
        <f>_xlfn.CEILING.MATH($F332)</f>
        <v>8</v>
      </c>
      <c r="H332">
        <f t="shared" si="35"/>
        <v>-2.083333333333337</v>
      </c>
    </row>
    <row r="333" spans="1:8" x14ac:dyDescent="0.3">
      <c r="A333">
        <v>330</v>
      </c>
      <c r="B333">
        <f t="shared" si="30"/>
        <v>41.25</v>
      </c>
      <c r="C333">
        <f t="shared" si="31"/>
        <v>41</v>
      </c>
      <c r="D333">
        <f t="shared" si="32"/>
        <v>42.125</v>
      </c>
      <c r="E333">
        <f t="shared" si="33"/>
        <v>42</v>
      </c>
      <c r="F333">
        <f t="shared" si="34"/>
        <v>7.8571428571428568</v>
      </c>
      <c r="G333">
        <f>_xlfn.CEILING.MATH($F333)</f>
        <v>8</v>
      </c>
      <c r="H333">
        <f t="shared" si="35"/>
        <v>-1.7857142857142905</v>
      </c>
    </row>
    <row r="334" spans="1:8" x14ac:dyDescent="0.3">
      <c r="A334">
        <v>331</v>
      </c>
      <c r="B334">
        <f t="shared" si="30"/>
        <v>41.375</v>
      </c>
      <c r="C334">
        <f t="shared" si="31"/>
        <v>41</v>
      </c>
      <c r="D334">
        <f t="shared" si="32"/>
        <v>42.25</v>
      </c>
      <c r="E334">
        <f t="shared" si="33"/>
        <v>42</v>
      </c>
      <c r="F334">
        <f t="shared" si="34"/>
        <v>7.8809523809523814</v>
      </c>
      <c r="G334">
        <f>_xlfn.CEILING.MATH($F334)</f>
        <v>8</v>
      </c>
      <c r="H334">
        <f t="shared" si="35"/>
        <v>-1.4880952380952328</v>
      </c>
    </row>
    <row r="335" spans="1:8" x14ac:dyDescent="0.3">
      <c r="A335">
        <v>332</v>
      </c>
      <c r="B335">
        <f t="shared" si="30"/>
        <v>41.5</v>
      </c>
      <c r="C335">
        <f t="shared" si="31"/>
        <v>41</v>
      </c>
      <c r="D335">
        <f t="shared" si="32"/>
        <v>42.375</v>
      </c>
      <c r="E335">
        <f t="shared" si="33"/>
        <v>42</v>
      </c>
      <c r="F335">
        <f t="shared" si="34"/>
        <v>7.9047619047619051</v>
      </c>
      <c r="G335">
        <f>_xlfn.CEILING.MATH($F335)</f>
        <v>8</v>
      </c>
      <c r="H335">
        <f t="shared" si="35"/>
        <v>-1.1904761904761862</v>
      </c>
    </row>
    <row r="336" spans="1:8" x14ac:dyDescent="0.3">
      <c r="A336">
        <v>333</v>
      </c>
      <c r="B336">
        <f t="shared" si="30"/>
        <v>41.625</v>
      </c>
      <c r="C336">
        <f t="shared" si="31"/>
        <v>41</v>
      </c>
      <c r="D336">
        <f t="shared" si="32"/>
        <v>42.5</v>
      </c>
      <c r="E336">
        <f t="shared" si="33"/>
        <v>42</v>
      </c>
      <c r="F336">
        <f t="shared" si="34"/>
        <v>7.9285714285714288</v>
      </c>
      <c r="G336">
        <f>_xlfn.CEILING.MATH($F336)</f>
        <v>8</v>
      </c>
      <c r="H336">
        <f t="shared" si="35"/>
        <v>-0.89285714285713969</v>
      </c>
    </row>
    <row r="337" spans="1:8" x14ac:dyDescent="0.3">
      <c r="A337">
        <v>334</v>
      </c>
      <c r="B337">
        <f t="shared" si="30"/>
        <v>41.75</v>
      </c>
      <c r="C337">
        <f t="shared" si="31"/>
        <v>41</v>
      </c>
      <c r="D337">
        <f t="shared" si="32"/>
        <v>42.625</v>
      </c>
      <c r="E337">
        <f t="shared" si="33"/>
        <v>42</v>
      </c>
      <c r="F337">
        <f t="shared" si="34"/>
        <v>7.9523809523809526</v>
      </c>
      <c r="G337">
        <f>_xlfn.CEILING.MATH($F337)</f>
        <v>8</v>
      </c>
      <c r="H337">
        <f t="shared" si="35"/>
        <v>-0.59523809523809312</v>
      </c>
    </row>
    <row r="338" spans="1:8" x14ac:dyDescent="0.3">
      <c r="A338">
        <v>335</v>
      </c>
      <c r="B338">
        <f t="shared" si="30"/>
        <v>41.875</v>
      </c>
      <c r="C338">
        <f t="shared" si="31"/>
        <v>41</v>
      </c>
      <c r="D338">
        <f t="shared" si="32"/>
        <v>42.75</v>
      </c>
      <c r="E338">
        <f t="shared" si="33"/>
        <v>42</v>
      </c>
      <c r="F338">
        <f t="shared" si="34"/>
        <v>7.9761904761904763</v>
      </c>
      <c r="G338">
        <f>_xlfn.CEILING.MATH($F338)</f>
        <v>8</v>
      </c>
      <c r="H338">
        <f t="shared" si="35"/>
        <v>-0.29761904761904656</v>
      </c>
    </row>
    <row r="339" spans="1:8" x14ac:dyDescent="0.3">
      <c r="A339">
        <v>336</v>
      </c>
      <c r="B339">
        <f t="shared" si="30"/>
        <v>42</v>
      </c>
      <c r="C339">
        <f t="shared" si="31"/>
        <v>42</v>
      </c>
      <c r="D339">
        <f t="shared" si="32"/>
        <v>42.875</v>
      </c>
      <c r="E339">
        <f t="shared" si="33"/>
        <v>42</v>
      </c>
      <c r="F339">
        <f t="shared" si="34"/>
        <v>8</v>
      </c>
      <c r="G339">
        <f>_xlfn.CEILING.MATH($F339)</f>
        <v>8</v>
      </c>
      <c r="H339">
        <f t="shared" si="35"/>
        <v>0</v>
      </c>
    </row>
    <row r="340" spans="1:8" x14ac:dyDescent="0.3">
      <c r="A340">
        <v>337</v>
      </c>
      <c r="B340">
        <f t="shared" si="30"/>
        <v>42.125</v>
      </c>
      <c r="C340">
        <f t="shared" si="31"/>
        <v>42</v>
      </c>
      <c r="D340">
        <f t="shared" si="32"/>
        <v>43</v>
      </c>
      <c r="E340">
        <f t="shared" si="33"/>
        <v>43</v>
      </c>
      <c r="F340">
        <f t="shared" si="34"/>
        <v>7.8372093023255811</v>
      </c>
      <c r="G340">
        <f>_xlfn.CEILING.MATH($F340)</f>
        <v>8</v>
      </c>
      <c r="H340">
        <f t="shared" si="35"/>
        <v>-2.0348837209302362</v>
      </c>
    </row>
    <row r="341" spans="1:8" x14ac:dyDescent="0.3">
      <c r="A341">
        <v>338</v>
      </c>
      <c r="B341">
        <f t="shared" si="30"/>
        <v>42.25</v>
      </c>
      <c r="C341">
        <f t="shared" si="31"/>
        <v>42</v>
      </c>
      <c r="D341">
        <f t="shared" si="32"/>
        <v>43.125</v>
      </c>
      <c r="E341">
        <f t="shared" si="33"/>
        <v>43</v>
      </c>
      <c r="F341">
        <f t="shared" si="34"/>
        <v>7.8604651162790695</v>
      </c>
      <c r="G341">
        <f>_xlfn.CEILING.MATH($F341)</f>
        <v>8</v>
      </c>
      <c r="H341">
        <f t="shared" si="35"/>
        <v>-1.744186046511631</v>
      </c>
    </row>
    <row r="342" spans="1:8" x14ac:dyDescent="0.3">
      <c r="A342">
        <v>339</v>
      </c>
      <c r="B342">
        <f t="shared" si="30"/>
        <v>42.375</v>
      </c>
      <c r="C342">
        <f t="shared" si="31"/>
        <v>42</v>
      </c>
      <c r="D342">
        <f t="shared" si="32"/>
        <v>43.25</v>
      </c>
      <c r="E342">
        <f t="shared" si="33"/>
        <v>43</v>
      </c>
      <c r="F342">
        <f t="shared" si="34"/>
        <v>7.8837209302325579</v>
      </c>
      <c r="G342">
        <f>_xlfn.CEILING.MATH($F342)</f>
        <v>8</v>
      </c>
      <c r="H342">
        <f t="shared" si="35"/>
        <v>-1.4534883720930258</v>
      </c>
    </row>
    <row r="343" spans="1:8" x14ac:dyDescent="0.3">
      <c r="A343">
        <v>340</v>
      </c>
      <c r="B343">
        <f t="shared" si="30"/>
        <v>42.5</v>
      </c>
      <c r="C343">
        <f t="shared" si="31"/>
        <v>42</v>
      </c>
      <c r="D343">
        <f t="shared" si="32"/>
        <v>43.375</v>
      </c>
      <c r="E343">
        <f t="shared" si="33"/>
        <v>43</v>
      </c>
      <c r="F343">
        <f t="shared" si="34"/>
        <v>7.9069767441860463</v>
      </c>
      <c r="G343">
        <f>_xlfn.CEILING.MATH($F343)</f>
        <v>8</v>
      </c>
      <c r="H343">
        <f t="shared" si="35"/>
        <v>-1.1627906976744207</v>
      </c>
    </row>
    <row r="344" spans="1:8" x14ac:dyDescent="0.3">
      <c r="A344">
        <v>341</v>
      </c>
      <c r="B344">
        <f t="shared" si="30"/>
        <v>42.625</v>
      </c>
      <c r="C344">
        <f t="shared" si="31"/>
        <v>42</v>
      </c>
      <c r="D344">
        <f t="shared" si="32"/>
        <v>43.5</v>
      </c>
      <c r="E344">
        <f t="shared" si="33"/>
        <v>43</v>
      </c>
      <c r="F344">
        <f t="shared" si="34"/>
        <v>7.9302325581395348</v>
      </c>
      <c r="G344">
        <f>_xlfn.CEILING.MATH($F344)</f>
        <v>8</v>
      </c>
      <c r="H344">
        <f t="shared" si="35"/>
        <v>-0.8720930232558155</v>
      </c>
    </row>
    <row r="345" spans="1:8" x14ac:dyDescent="0.3">
      <c r="A345">
        <v>342</v>
      </c>
      <c r="B345">
        <f t="shared" si="30"/>
        <v>42.75</v>
      </c>
      <c r="C345">
        <f t="shared" si="31"/>
        <v>42</v>
      </c>
      <c r="D345">
        <f t="shared" si="32"/>
        <v>43.625</v>
      </c>
      <c r="E345">
        <f t="shared" si="33"/>
        <v>43</v>
      </c>
      <c r="F345">
        <f t="shared" si="34"/>
        <v>7.9534883720930232</v>
      </c>
      <c r="G345">
        <f>_xlfn.CEILING.MATH($F345)</f>
        <v>8</v>
      </c>
      <c r="H345">
        <f t="shared" si="35"/>
        <v>-0.58139534883721034</v>
      </c>
    </row>
    <row r="346" spans="1:8" x14ac:dyDescent="0.3">
      <c r="A346">
        <v>343</v>
      </c>
      <c r="B346">
        <f t="shared" si="30"/>
        <v>42.875</v>
      </c>
      <c r="C346">
        <f t="shared" si="31"/>
        <v>42</v>
      </c>
      <c r="D346">
        <f t="shared" si="32"/>
        <v>43.75</v>
      </c>
      <c r="E346">
        <f t="shared" si="33"/>
        <v>43</v>
      </c>
      <c r="F346">
        <f t="shared" si="34"/>
        <v>7.9767441860465116</v>
      </c>
      <c r="G346">
        <f>_xlfn.CEILING.MATH($F346)</f>
        <v>8</v>
      </c>
      <c r="H346">
        <f t="shared" si="35"/>
        <v>-0.29069767441860517</v>
      </c>
    </row>
    <row r="347" spans="1:8" x14ac:dyDescent="0.3">
      <c r="A347">
        <v>344</v>
      </c>
      <c r="B347">
        <f t="shared" si="30"/>
        <v>43</v>
      </c>
      <c r="C347">
        <f t="shared" si="31"/>
        <v>43</v>
      </c>
      <c r="D347">
        <f t="shared" si="32"/>
        <v>43.875</v>
      </c>
      <c r="E347">
        <f t="shared" si="33"/>
        <v>43</v>
      </c>
      <c r="F347">
        <f t="shared" si="34"/>
        <v>8</v>
      </c>
      <c r="G347">
        <f>_xlfn.CEILING.MATH($F347)</f>
        <v>8</v>
      </c>
      <c r="H347">
        <f t="shared" si="35"/>
        <v>0</v>
      </c>
    </row>
    <row r="348" spans="1:8" x14ac:dyDescent="0.3">
      <c r="A348">
        <v>345</v>
      </c>
      <c r="B348">
        <f t="shared" si="30"/>
        <v>43.125</v>
      </c>
      <c r="C348">
        <f t="shared" si="31"/>
        <v>43</v>
      </c>
      <c r="D348">
        <f t="shared" si="32"/>
        <v>44</v>
      </c>
      <c r="E348">
        <f t="shared" si="33"/>
        <v>44</v>
      </c>
      <c r="F348">
        <f t="shared" si="34"/>
        <v>7.8409090909090908</v>
      </c>
      <c r="G348">
        <f>_xlfn.CEILING.MATH($F348)</f>
        <v>8</v>
      </c>
      <c r="H348">
        <f t="shared" si="35"/>
        <v>-1.9886363636363646</v>
      </c>
    </row>
    <row r="349" spans="1:8" x14ac:dyDescent="0.3">
      <c r="A349">
        <v>346</v>
      </c>
      <c r="B349">
        <f t="shared" si="30"/>
        <v>43.25</v>
      </c>
      <c r="C349">
        <f t="shared" si="31"/>
        <v>43</v>
      </c>
      <c r="D349">
        <f t="shared" si="32"/>
        <v>44.125</v>
      </c>
      <c r="E349">
        <f t="shared" si="33"/>
        <v>44</v>
      </c>
      <c r="F349">
        <f t="shared" si="34"/>
        <v>7.8636363636363633</v>
      </c>
      <c r="G349">
        <f>_xlfn.CEILING.MATH($F349)</f>
        <v>8</v>
      </c>
      <c r="H349">
        <f t="shared" si="35"/>
        <v>-1.7045454545454586</v>
      </c>
    </row>
    <row r="350" spans="1:8" x14ac:dyDescent="0.3">
      <c r="A350">
        <v>347</v>
      </c>
      <c r="B350">
        <f t="shared" si="30"/>
        <v>43.375</v>
      </c>
      <c r="C350">
        <f t="shared" si="31"/>
        <v>43</v>
      </c>
      <c r="D350">
        <f t="shared" si="32"/>
        <v>44.25</v>
      </c>
      <c r="E350">
        <f t="shared" si="33"/>
        <v>44</v>
      </c>
      <c r="F350">
        <f t="shared" si="34"/>
        <v>7.8863636363636367</v>
      </c>
      <c r="G350">
        <f>_xlfn.CEILING.MATH($F350)</f>
        <v>8</v>
      </c>
      <c r="H350">
        <f t="shared" si="35"/>
        <v>-1.4204545454545414</v>
      </c>
    </row>
    <row r="351" spans="1:8" x14ac:dyDescent="0.3">
      <c r="A351">
        <v>348</v>
      </c>
      <c r="B351">
        <f t="shared" si="30"/>
        <v>43.5</v>
      </c>
      <c r="C351">
        <f t="shared" si="31"/>
        <v>43</v>
      </c>
      <c r="D351">
        <f t="shared" si="32"/>
        <v>44.375</v>
      </c>
      <c r="E351">
        <f t="shared" si="33"/>
        <v>44</v>
      </c>
      <c r="F351">
        <f t="shared" si="34"/>
        <v>7.9090909090909092</v>
      </c>
      <c r="G351">
        <f>_xlfn.CEILING.MATH($F351)</f>
        <v>8</v>
      </c>
      <c r="H351">
        <f t="shared" si="35"/>
        <v>-1.1363636363636354</v>
      </c>
    </row>
    <row r="352" spans="1:8" x14ac:dyDescent="0.3">
      <c r="A352">
        <v>349</v>
      </c>
      <c r="B352">
        <f t="shared" si="30"/>
        <v>43.625</v>
      </c>
      <c r="C352">
        <f t="shared" si="31"/>
        <v>43</v>
      </c>
      <c r="D352">
        <f t="shared" si="32"/>
        <v>44.5</v>
      </c>
      <c r="E352">
        <f t="shared" si="33"/>
        <v>44</v>
      </c>
      <c r="F352">
        <f t="shared" si="34"/>
        <v>7.9318181818181817</v>
      </c>
      <c r="G352">
        <f>_xlfn.CEILING.MATH($F352)</f>
        <v>8</v>
      </c>
      <c r="H352">
        <f t="shared" si="35"/>
        <v>-0.85227272727272929</v>
      </c>
    </row>
    <row r="353" spans="1:8" x14ac:dyDescent="0.3">
      <c r="A353">
        <v>350</v>
      </c>
      <c r="B353">
        <f t="shared" si="30"/>
        <v>43.75</v>
      </c>
      <c r="C353">
        <f t="shared" si="31"/>
        <v>43</v>
      </c>
      <c r="D353">
        <f t="shared" si="32"/>
        <v>44.625</v>
      </c>
      <c r="E353">
        <f t="shared" si="33"/>
        <v>44</v>
      </c>
      <c r="F353">
        <f t="shared" si="34"/>
        <v>7.9545454545454541</v>
      </c>
      <c r="G353">
        <f>_xlfn.CEILING.MATH($F353)</f>
        <v>8</v>
      </c>
      <c r="H353">
        <f t="shared" si="35"/>
        <v>-0.56818181818182323</v>
      </c>
    </row>
    <row r="354" spans="1:8" x14ac:dyDescent="0.3">
      <c r="A354">
        <v>351</v>
      </c>
      <c r="B354">
        <f t="shared" si="30"/>
        <v>43.875</v>
      </c>
      <c r="C354">
        <f t="shared" si="31"/>
        <v>43</v>
      </c>
      <c r="D354">
        <f t="shared" si="32"/>
        <v>44.75</v>
      </c>
      <c r="E354">
        <f t="shared" si="33"/>
        <v>44</v>
      </c>
      <c r="F354">
        <f t="shared" si="34"/>
        <v>7.9772727272727275</v>
      </c>
      <c r="G354">
        <f>_xlfn.CEILING.MATH($F354)</f>
        <v>8</v>
      </c>
      <c r="H354">
        <f t="shared" si="35"/>
        <v>-0.28409090909090606</v>
      </c>
    </row>
    <row r="355" spans="1:8" x14ac:dyDescent="0.3">
      <c r="A355">
        <v>352</v>
      </c>
      <c r="B355">
        <f t="shared" si="30"/>
        <v>44</v>
      </c>
      <c r="C355">
        <f t="shared" si="31"/>
        <v>44</v>
      </c>
      <c r="D355">
        <f t="shared" si="32"/>
        <v>44.875</v>
      </c>
      <c r="E355">
        <f t="shared" si="33"/>
        <v>44</v>
      </c>
      <c r="F355">
        <f t="shared" si="34"/>
        <v>8</v>
      </c>
      <c r="G355">
        <f>_xlfn.CEILING.MATH($F355)</f>
        <v>8</v>
      </c>
      <c r="H355">
        <f t="shared" si="35"/>
        <v>0</v>
      </c>
    </row>
    <row r="356" spans="1:8" x14ac:dyDescent="0.3">
      <c r="A356">
        <v>353</v>
      </c>
      <c r="B356">
        <f t="shared" si="30"/>
        <v>44.125</v>
      </c>
      <c r="C356">
        <f t="shared" si="31"/>
        <v>44</v>
      </c>
      <c r="D356">
        <f t="shared" si="32"/>
        <v>45</v>
      </c>
      <c r="E356">
        <f t="shared" si="33"/>
        <v>45</v>
      </c>
      <c r="F356">
        <f t="shared" si="34"/>
        <v>7.8444444444444441</v>
      </c>
      <c r="G356">
        <f>_xlfn.CEILING.MATH($F356)</f>
        <v>8</v>
      </c>
      <c r="H356">
        <f t="shared" si="35"/>
        <v>-1.9444444444444486</v>
      </c>
    </row>
    <row r="357" spans="1:8" x14ac:dyDescent="0.3">
      <c r="A357">
        <v>354</v>
      </c>
      <c r="B357">
        <f t="shared" si="30"/>
        <v>44.25</v>
      </c>
      <c r="C357">
        <f t="shared" si="31"/>
        <v>44</v>
      </c>
      <c r="D357">
        <f t="shared" si="32"/>
        <v>45.125</v>
      </c>
      <c r="E357">
        <f t="shared" si="33"/>
        <v>45</v>
      </c>
      <c r="F357">
        <f t="shared" si="34"/>
        <v>7.8666666666666663</v>
      </c>
      <c r="G357">
        <f>_xlfn.CEILING.MATH($F357)</f>
        <v>8</v>
      </c>
      <c r="H357">
        <f t="shared" si="35"/>
        <v>-1.6666666666666718</v>
      </c>
    </row>
    <row r="358" spans="1:8" x14ac:dyDescent="0.3">
      <c r="A358">
        <v>355</v>
      </c>
      <c r="B358">
        <f t="shared" si="30"/>
        <v>44.375</v>
      </c>
      <c r="C358">
        <f t="shared" si="31"/>
        <v>44</v>
      </c>
      <c r="D358">
        <f t="shared" si="32"/>
        <v>45.25</v>
      </c>
      <c r="E358">
        <f t="shared" si="33"/>
        <v>45</v>
      </c>
      <c r="F358">
        <f t="shared" si="34"/>
        <v>7.8888888888888893</v>
      </c>
      <c r="G358">
        <f>_xlfn.CEILING.MATH($F358)</f>
        <v>8</v>
      </c>
      <c r="H358">
        <f t="shared" si="35"/>
        <v>-1.388888888888884</v>
      </c>
    </row>
    <row r="359" spans="1:8" x14ac:dyDescent="0.3">
      <c r="A359">
        <v>356</v>
      </c>
      <c r="B359">
        <f t="shared" si="30"/>
        <v>44.5</v>
      </c>
      <c r="C359">
        <f t="shared" si="31"/>
        <v>44</v>
      </c>
      <c r="D359">
        <f t="shared" si="32"/>
        <v>45.375</v>
      </c>
      <c r="E359">
        <f t="shared" si="33"/>
        <v>45</v>
      </c>
      <c r="F359">
        <f t="shared" si="34"/>
        <v>7.9111111111111114</v>
      </c>
      <c r="G359">
        <f>_xlfn.CEILING.MATH($F359)</f>
        <v>8</v>
      </c>
      <c r="H359">
        <f t="shared" si="35"/>
        <v>-1.1111111111111072</v>
      </c>
    </row>
    <row r="360" spans="1:8" x14ac:dyDescent="0.3">
      <c r="A360">
        <v>357</v>
      </c>
      <c r="B360">
        <f t="shared" si="30"/>
        <v>44.625</v>
      </c>
      <c r="C360">
        <f t="shared" si="31"/>
        <v>44</v>
      </c>
      <c r="D360">
        <f t="shared" si="32"/>
        <v>45.5</v>
      </c>
      <c r="E360">
        <f t="shared" si="33"/>
        <v>45</v>
      </c>
      <c r="F360">
        <f t="shared" si="34"/>
        <v>7.9333333333333336</v>
      </c>
      <c r="G360">
        <f>_xlfn.CEILING.MATH($F360)</f>
        <v>8</v>
      </c>
      <c r="H360">
        <f t="shared" si="35"/>
        <v>-0.83333333333333037</v>
      </c>
    </row>
    <row r="361" spans="1:8" x14ac:dyDescent="0.3">
      <c r="A361">
        <v>358</v>
      </c>
      <c r="B361">
        <f t="shared" si="30"/>
        <v>44.75</v>
      </c>
      <c r="C361">
        <f t="shared" si="31"/>
        <v>44</v>
      </c>
      <c r="D361">
        <f t="shared" si="32"/>
        <v>45.625</v>
      </c>
      <c r="E361">
        <f t="shared" si="33"/>
        <v>45</v>
      </c>
      <c r="F361">
        <f t="shared" si="34"/>
        <v>7.9555555555555557</v>
      </c>
      <c r="G361">
        <f>_xlfn.CEILING.MATH($F361)</f>
        <v>8</v>
      </c>
      <c r="H361">
        <f t="shared" si="35"/>
        <v>-0.55555555555555358</v>
      </c>
    </row>
    <row r="362" spans="1:8" x14ac:dyDescent="0.3">
      <c r="A362">
        <v>359</v>
      </c>
      <c r="B362">
        <f t="shared" si="30"/>
        <v>44.875</v>
      </c>
      <c r="C362">
        <f t="shared" si="31"/>
        <v>44</v>
      </c>
      <c r="D362">
        <f t="shared" si="32"/>
        <v>45.75</v>
      </c>
      <c r="E362">
        <f t="shared" si="33"/>
        <v>45</v>
      </c>
      <c r="F362">
        <f t="shared" si="34"/>
        <v>7.9777777777777779</v>
      </c>
      <c r="G362">
        <f>_xlfn.CEILING.MATH($F362)</f>
        <v>8</v>
      </c>
      <c r="H362">
        <f t="shared" si="35"/>
        <v>-0.27777777777777679</v>
      </c>
    </row>
    <row r="363" spans="1:8" x14ac:dyDescent="0.3">
      <c r="A363">
        <v>360</v>
      </c>
      <c r="B363">
        <f t="shared" si="30"/>
        <v>45</v>
      </c>
      <c r="C363">
        <f t="shared" si="31"/>
        <v>45</v>
      </c>
      <c r="D363">
        <f t="shared" si="32"/>
        <v>45.875</v>
      </c>
      <c r="E363">
        <f t="shared" si="33"/>
        <v>45</v>
      </c>
      <c r="F363">
        <f t="shared" si="34"/>
        <v>8</v>
      </c>
      <c r="G363">
        <f>_xlfn.CEILING.MATH($F363)</f>
        <v>8</v>
      </c>
      <c r="H363">
        <f t="shared" si="35"/>
        <v>0</v>
      </c>
    </row>
    <row r="364" spans="1:8" x14ac:dyDescent="0.3">
      <c r="A364">
        <v>361</v>
      </c>
      <c r="B364">
        <f t="shared" si="30"/>
        <v>45.125</v>
      </c>
      <c r="C364">
        <f t="shared" si="31"/>
        <v>45</v>
      </c>
      <c r="D364">
        <f t="shared" si="32"/>
        <v>46</v>
      </c>
      <c r="E364">
        <f t="shared" si="33"/>
        <v>46</v>
      </c>
      <c r="F364">
        <f t="shared" si="34"/>
        <v>7.8478260869565215</v>
      </c>
      <c r="G364">
        <f>_xlfn.CEILING.MATH($F364)</f>
        <v>8</v>
      </c>
      <c r="H364">
        <f t="shared" si="35"/>
        <v>-1.9021739130434812</v>
      </c>
    </row>
    <row r="365" spans="1:8" x14ac:dyDescent="0.3">
      <c r="A365">
        <v>362</v>
      </c>
      <c r="B365">
        <f t="shared" si="30"/>
        <v>45.25</v>
      </c>
      <c r="C365">
        <f t="shared" si="31"/>
        <v>45</v>
      </c>
      <c r="D365">
        <f t="shared" si="32"/>
        <v>46.125</v>
      </c>
      <c r="E365">
        <f t="shared" si="33"/>
        <v>46</v>
      </c>
      <c r="F365">
        <f t="shared" si="34"/>
        <v>7.8695652173913047</v>
      </c>
      <c r="G365">
        <f>_xlfn.CEILING.MATH($F365)</f>
        <v>8</v>
      </c>
      <c r="H365">
        <f t="shared" si="35"/>
        <v>-1.6304347826086918</v>
      </c>
    </row>
    <row r="366" spans="1:8" x14ac:dyDescent="0.3">
      <c r="A366">
        <v>363</v>
      </c>
      <c r="B366">
        <f t="shared" si="30"/>
        <v>45.375</v>
      </c>
      <c r="C366">
        <f t="shared" si="31"/>
        <v>45</v>
      </c>
      <c r="D366">
        <f t="shared" si="32"/>
        <v>46.25</v>
      </c>
      <c r="E366">
        <f t="shared" si="33"/>
        <v>46</v>
      </c>
      <c r="F366">
        <f t="shared" si="34"/>
        <v>7.8913043478260869</v>
      </c>
      <c r="G366">
        <f>_xlfn.CEILING.MATH($F366)</f>
        <v>8</v>
      </c>
      <c r="H366">
        <f t="shared" si="35"/>
        <v>-1.3586956521739135</v>
      </c>
    </row>
    <row r="367" spans="1:8" x14ac:dyDescent="0.3">
      <c r="A367">
        <v>364</v>
      </c>
      <c r="B367">
        <f t="shared" si="30"/>
        <v>45.5</v>
      </c>
      <c r="C367">
        <f t="shared" si="31"/>
        <v>45</v>
      </c>
      <c r="D367">
        <f t="shared" si="32"/>
        <v>46.375</v>
      </c>
      <c r="E367">
        <f t="shared" si="33"/>
        <v>46</v>
      </c>
      <c r="F367">
        <f t="shared" si="34"/>
        <v>7.9130434782608692</v>
      </c>
      <c r="G367">
        <f>_xlfn.CEILING.MATH($F367)</f>
        <v>8</v>
      </c>
      <c r="H367">
        <f t="shared" si="35"/>
        <v>-1.0869565217391353</v>
      </c>
    </row>
    <row r="368" spans="1:8" x14ac:dyDescent="0.3">
      <c r="A368">
        <v>365</v>
      </c>
      <c r="B368">
        <f t="shared" si="30"/>
        <v>45.625</v>
      </c>
      <c r="C368">
        <f t="shared" si="31"/>
        <v>45</v>
      </c>
      <c r="D368">
        <f t="shared" si="32"/>
        <v>46.5</v>
      </c>
      <c r="E368">
        <f t="shared" si="33"/>
        <v>46</v>
      </c>
      <c r="F368">
        <f t="shared" si="34"/>
        <v>7.9347826086956523</v>
      </c>
      <c r="G368">
        <f>_xlfn.CEILING.MATH($F368)</f>
        <v>8</v>
      </c>
      <c r="H368">
        <f t="shared" si="35"/>
        <v>-0.8152173913043459</v>
      </c>
    </row>
    <row r="369" spans="1:8" x14ac:dyDescent="0.3">
      <c r="A369">
        <v>366</v>
      </c>
      <c r="B369">
        <f t="shared" si="30"/>
        <v>45.75</v>
      </c>
      <c r="C369">
        <f t="shared" si="31"/>
        <v>45</v>
      </c>
      <c r="D369">
        <f t="shared" si="32"/>
        <v>46.625</v>
      </c>
      <c r="E369">
        <f t="shared" si="33"/>
        <v>46</v>
      </c>
      <c r="F369">
        <f t="shared" si="34"/>
        <v>7.9565217391304346</v>
      </c>
      <c r="G369">
        <f>_xlfn.CEILING.MATH($F369)</f>
        <v>8</v>
      </c>
      <c r="H369">
        <f t="shared" si="35"/>
        <v>-0.54347826086956763</v>
      </c>
    </row>
    <row r="370" spans="1:8" x14ac:dyDescent="0.3">
      <c r="A370">
        <v>367</v>
      </c>
      <c r="B370">
        <f t="shared" si="30"/>
        <v>45.875</v>
      </c>
      <c r="C370">
        <f t="shared" si="31"/>
        <v>45</v>
      </c>
      <c r="D370">
        <f t="shared" si="32"/>
        <v>46.75</v>
      </c>
      <c r="E370">
        <f t="shared" si="33"/>
        <v>46</v>
      </c>
      <c r="F370">
        <f t="shared" si="34"/>
        <v>7.9782608695652177</v>
      </c>
      <c r="G370">
        <f>_xlfn.CEILING.MATH($F370)</f>
        <v>8</v>
      </c>
      <c r="H370">
        <f t="shared" si="35"/>
        <v>-0.27173913043477826</v>
      </c>
    </row>
    <row r="371" spans="1:8" x14ac:dyDescent="0.3">
      <c r="A371">
        <v>368</v>
      </c>
      <c r="B371">
        <f t="shared" si="30"/>
        <v>46</v>
      </c>
      <c r="C371">
        <f t="shared" si="31"/>
        <v>46</v>
      </c>
      <c r="D371">
        <f t="shared" si="32"/>
        <v>46.875</v>
      </c>
      <c r="E371">
        <f t="shared" si="33"/>
        <v>46</v>
      </c>
      <c r="F371">
        <f t="shared" si="34"/>
        <v>8</v>
      </c>
      <c r="G371">
        <f>_xlfn.CEILING.MATH($F371)</f>
        <v>8</v>
      </c>
      <c r="H371">
        <f t="shared" si="35"/>
        <v>0</v>
      </c>
    </row>
    <row r="372" spans="1:8" x14ac:dyDescent="0.3">
      <c r="A372">
        <v>369</v>
      </c>
      <c r="B372">
        <f t="shared" si="30"/>
        <v>46.125</v>
      </c>
      <c r="C372">
        <f t="shared" si="31"/>
        <v>46</v>
      </c>
      <c r="D372">
        <f t="shared" si="32"/>
        <v>47</v>
      </c>
      <c r="E372">
        <f t="shared" si="33"/>
        <v>47</v>
      </c>
      <c r="F372">
        <f t="shared" si="34"/>
        <v>7.8510638297872344</v>
      </c>
      <c r="G372">
        <f>_xlfn.CEILING.MATH($F372)</f>
        <v>8</v>
      </c>
      <c r="H372">
        <f t="shared" si="35"/>
        <v>-1.8617021276595702</v>
      </c>
    </row>
    <row r="373" spans="1:8" x14ac:dyDescent="0.3">
      <c r="A373">
        <v>370</v>
      </c>
      <c r="B373">
        <f t="shared" si="30"/>
        <v>46.25</v>
      </c>
      <c r="C373">
        <f t="shared" si="31"/>
        <v>46</v>
      </c>
      <c r="D373">
        <f t="shared" si="32"/>
        <v>47.125</v>
      </c>
      <c r="E373">
        <f t="shared" si="33"/>
        <v>47</v>
      </c>
      <c r="F373">
        <f t="shared" si="34"/>
        <v>7.8723404255319149</v>
      </c>
      <c r="G373">
        <f>_xlfn.CEILING.MATH($F373)</f>
        <v>8</v>
      </c>
      <c r="H373">
        <f t="shared" si="35"/>
        <v>-1.5957446808510634</v>
      </c>
    </row>
    <row r="374" spans="1:8" x14ac:dyDescent="0.3">
      <c r="A374">
        <v>371</v>
      </c>
      <c r="B374">
        <f t="shared" si="30"/>
        <v>46.375</v>
      </c>
      <c r="C374">
        <f t="shared" si="31"/>
        <v>46</v>
      </c>
      <c r="D374">
        <f t="shared" si="32"/>
        <v>47.25</v>
      </c>
      <c r="E374">
        <f t="shared" si="33"/>
        <v>47</v>
      </c>
      <c r="F374">
        <f t="shared" si="34"/>
        <v>7.8936170212765955</v>
      </c>
      <c r="G374">
        <f>_xlfn.CEILING.MATH($F374)</f>
        <v>8</v>
      </c>
      <c r="H374">
        <f t="shared" si="35"/>
        <v>-1.3297872340425565</v>
      </c>
    </row>
    <row r="375" spans="1:8" x14ac:dyDescent="0.3">
      <c r="A375">
        <v>372</v>
      </c>
      <c r="B375">
        <f t="shared" si="30"/>
        <v>46.5</v>
      </c>
      <c r="C375">
        <f t="shared" si="31"/>
        <v>46</v>
      </c>
      <c r="D375">
        <f t="shared" si="32"/>
        <v>47.375</v>
      </c>
      <c r="E375">
        <f t="shared" si="33"/>
        <v>47</v>
      </c>
      <c r="F375">
        <f t="shared" si="34"/>
        <v>7.9148936170212769</v>
      </c>
      <c r="G375">
        <f>_xlfn.CEILING.MATH($F375)</f>
        <v>8</v>
      </c>
      <c r="H375">
        <f t="shared" si="35"/>
        <v>-1.0638297872340385</v>
      </c>
    </row>
    <row r="376" spans="1:8" x14ac:dyDescent="0.3">
      <c r="A376">
        <v>373</v>
      </c>
      <c r="B376">
        <f t="shared" si="30"/>
        <v>46.625</v>
      </c>
      <c r="C376">
        <f t="shared" si="31"/>
        <v>46</v>
      </c>
      <c r="D376">
        <f t="shared" si="32"/>
        <v>47.5</v>
      </c>
      <c r="E376">
        <f t="shared" si="33"/>
        <v>47</v>
      </c>
      <c r="F376">
        <f t="shared" si="34"/>
        <v>7.9361702127659575</v>
      </c>
      <c r="G376">
        <f>_xlfn.CEILING.MATH($F376)</f>
        <v>8</v>
      </c>
      <c r="H376">
        <f t="shared" si="35"/>
        <v>-0.79787234042553168</v>
      </c>
    </row>
    <row r="377" spans="1:8" x14ac:dyDescent="0.3">
      <c r="A377">
        <v>374</v>
      </c>
      <c r="B377">
        <f t="shared" si="30"/>
        <v>46.75</v>
      </c>
      <c r="C377">
        <f t="shared" si="31"/>
        <v>46</v>
      </c>
      <c r="D377">
        <f t="shared" si="32"/>
        <v>47.625</v>
      </c>
      <c r="E377">
        <f t="shared" si="33"/>
        <v>47</v>
      </c>
      <c r="F377">
        <f t="shared" si="34"/>
        <v>7.957446808510638</v>
      </c>
      <c r="G377">
        <f>_xlfn.CEILING.MATH($F377)</f>
        <v>8</v>
      </c>
      <c r="H377">
        <f t="shared" si="35"/>
        <v>-0.53191489361702482</v>
      </c>
    </row>
    <row r="378" spans="1:8" x14ac:dyDescent="0.3">
      <c r="A378">
        <v>375</v>
      </c>
      <c r="B378">
        <f t="shared" si="30"/>
        <v>46.875</v>
      </c>
      <c r="C378">
        <f t="shared" si="31"/>
        <v>46</v>
      </c>
      <c r="D378">
        <f t="shared" si="32"/>
        <v>47.75</v>
      </c>
      <c r="E378">
        <f t="shared" si="33"/>
        <v>47</v>
      </c>
      <c r="F378">
        <f t="shared" si="34"/>
        <v>7.9787234042553195</v>
      </c>
      <c r="G378">
        <f>_xlfn.CEILING.MATH($F378)</f>
        <v>8</v>
      </c>
      <c r="H378">
        <f t="shared" si="35"/>
        <v>-0.26595744680850686</v>
      </c>
    </row>
    <row r="379" spans="1:8" x14ac:dyDescent="0.3">
      <c r="A379">
        <v>376</v>
      </c>
      <c r="B379">
        <f t="shared" si="30"/>
        <v>47</v>
      </c>
      <c r="C379">
        <f t="shared" si="31"/>
        <v>47</v>
      </c>
      <c r="D379">
        <f t="shared" si="32"/>
        <v>47.875</v>
      </c>
      <c r="E379">
        <f t="shared" si="33"/>
        <v>47</v>
      </c>
      <c r="F379">
        <f t="shared" si="34"/>
        <v>8</v>
      </c>
      <c r="G379">
        <f>_xlfn.CEILING.MATH($F379)</f>
        <v>8</v>
      </c>
      <c r="H379">
        <f t="shared" si="35"/>
        <v>0</v>
      </c>
    </row>
    <row r="380" spans="1:8" x14ac:dyDescent="0.3">
      <c r="A380">
        <v>377</v>
      </c>
      <c r="B380">
        <f t="shared" si="30"/>
        <v>47.125</v>
      </c>
      <c r="C380">
        <f t="shared" si="31"/>
        <v>47</v>
      </c>
      <c r="D380">
        <f t="shared" si="32"/>
        <v>48</v>
      </c>
      <c r="E380">
        <f t="shared" si="33"/>
        <v>48</v>
      </c>
      <c r="F380">
        <f t="shared" si="34"/>
        <v>7.854166666666667</v>
      </c>
      <c r="G380">
        <f>_xlfn.CEILING.MATH($F380)</f>
        <v>8</v>
      </c>
      <c r="H380">
        <f t="shared" si="35"/>
        <v>-1.822916666666663</v>
      </c>
    </row>
    <row r="381" spans="1:8" x14ac:dyDescent="0.3">
      <c r="A381">
        <v>378</v>
      </c>
      <c r="B381">
        <f t="shared" si="30"/>
        <v>47.25</v>
      </c>
      <c r="C381">
        <f t="shared" si="31"/>
        <v>47</v>
      </c>
      <c r="D381">
        <f t="shared" si="32"/>
        <v>48.125</v>
      </c>
      <c r="E381">
        <f t="shared" si="33"/>
        <v>48</v>
      </c>
      <c r="F381">
        <f t="shared" si="34"/>
        <v>7.875</v>
      </c>
      <c r="G381">
        <f>_xlfn.CEILING.MATH($F381)</f>
        <v>8</v>
      </c>
      <c r="H381">
        <f t="shared" si="35"/>
        <v>-1.5625</v>
      </c>
    </row>
    <row r="382" spans="1:8" x14ac:dyDescent="0.3">
      <c r="A382">
        <v>379</v>
      </c>
      <c r="B382">
        <f t="shared" si="30"/>
        <v>47.375</v>
      </c>
      <c r="C382">
        <f t="shared" si="31"/>
        <v>47</v>
      </c>
      <c r="D382">
        <f t="shared" si="32"/>
        <v>48.25</v>
      </c>
      <c r="E382">
        <f t="shared" si="33"/>
        <v>48</v>
      </c>
      <c r="F382">
        <f t="shared" si="34"/>
        <v>7.895833333333333</v>
      </c>
      <c r="G382">
        <f>_xlfn.CEILING.MATH($F382)</f>
        <v>8</v>
      </c>
      <c r="H382">
        <f t="shared" si="35"/>
        <v>-1.302083333333337</v>
      </c>
    </row>
    <row r="383" spans="1:8" x14ac:dyDescent="0.3">
      <c r="A383">
        <v>380</v>
      </c>
      <c r="B383">
        <f t="shared" si="30"/>
        <v>47.5</v>
      </c>
      <c r="C383">
        <f t="shared" si="31"/>
        <v>47</v>
      </c>
      <c r="D383">
        <f t="shared" si="32"/>
        <v>48.375</v>
      </c>
      <c r="E383">
        <f t="shared" si="33"/>
        <v>48</v>
      </c>
      <c r="F383">
        <f t="shared" si="34"/>
        <v>7.916666666666667</v>
      </c>
      <c r="G383">
        <f>_xlfn.CEILING.MATH($F383)</f>
        <v>8</v>
      </c>
      <c r="H383">
        <f t="shared" si="35"/>
        <v>-1.041666666666663</v>
      </c>
    </row>
    <row r="384" spans="1:8" x14ac:dyDescent="0.3">
      <c r="A384">
        <v>381</v>
      </c>
      <c r="B384">
        <f t="shared" si="30"/>
        <v>47.625</v>
      </c>
      <c r="C384">
        <f t="shared" si="31"/>
        <v>47</v>
      </c>
      <c r="D384">
        <f t="shared" si="32"/>
        <v>48.5</v>
      </c>
      <c r="E384">
        <f t="shared" si="33"/>
        <v>48</v>
      </c>
      <c r="F384">
        <f t="shared" si="34"/>
        <v>7.9375</v>
      </c>
      <c r="G384">
        <f>_xlfn.CEILING.MATH($F384)</f>
        <v>8</v>
      </c>
      <c r="H384">
        <f t="shared" si="35"/>
        <v>-0.78125</v>
      </c>
    </row>
    <row r="385" spans="1:8" x14ac:dyDescent="0.3">
      <c r="A385">
        <v>382</v>
      </c>
      <c r="B385">
        <f t="shared" si="30"/>
        <v>47.75</v>
      </c>
      <c r="C385">
        <f t="shared" si="31"/>
        <v>47</v>
      </c>
      <c r="D385">
        <f t="shared" si="32"/>
        <v>48.625</v>
      </c>
      <c r="E385">
        <f t="shared" si="33"/>
        <v>48</v>
      </c>
      <c r="F385">
        <f t="shared" si="34"/>
        <v>7.958333333333333</v>
      </c>
      <c r="G385">
        <f>_xlfn.CEILING.MATH($F385)</f>
        <v>8</v>
      </c>
      <c r="H385">
        <f t="shared" si="35"/>
        <v>-0.52083333333333703</v>
      </c>
    </row>
    <row r="386" spans="1:8" x14ac:dyDescent="0.3">
      <c r="A386">
        <v>383</v>
      </c>
      <c r="B386">
        <f t="shared" si="30"/>
        <v>47.875</v>
      </c>
      <c r="C386">
        <f t="shared" si="31"/>
        <v>47</v>
      </c>
      <c r="D386">
        <f t="shared" si="32"/>
        <v>48.75</v>
      </c>
      <c r="E386">
        <f t="shared" si="33"/>
        <v>48</v>
      </c>
      <c r="F386">
        <f t="shared" si="34"/>
        <v>7.979166666666667</v>
      </c>
      <c r="G386">
        <f>_xlfn.CEILING.MATH($F386)</f>
        <v>8</v>
      </c>
      <c r="H386">
        <f t="shared" si="35"/>
        <v>-0.26041666666666297</v>
      </c>
    </row>
    <row r="387" spans="1:8" x14ac:dyDescent="0.3">
      <c r="A387">
        <v>384</v>
      </c>
      <c r="B387">
        <f t="shared" si="30"/>
        <v>48</v>
      </c>
      <c r="C387">
        <f t="shared" si="31"/>
        <v>48</v>
      </c>
      <c r="D387">
        <f t="shared" si="32"/>
        <v>48.875</v>
      </c>
      <c r="E387">
        <f t="shared" si="33"/>
        <v>48</v>
      </c>
      <c r="F387">
        <f t="shared" si="34"/>
        <v>8</v>
      </c>
      <c r="G387">
        <f>_xlfn.CEILING.MATH($F387)</f>
        <v>8</v>
      </c>
      <c r="H387">
        <f t="shared" si="35"/>
        <v>0</v>
      </c>
    </row>
    <row r="388" spans="1:8" x14ac:dyDescent="0.3">
      <c r="A388">
        <v>385</v>
      </c>
      <c r="B388">
        <f t="shared" si="30"/>
        <v>48.125</v>
      </c>
      <c r="C388">
        <f t="shared" si="31"/>
        <v>48</v>
      </c>
      <c r="D388">
        <f t="shared" si="32"/>
        <v>49</v>
      </c>
      <c r="E388">
        <f t="shared" si="33"/>
        <v>49</v>
      </c>
      <c r="F388">
        <f t="shared" si="34"/>
        <v>7.8571428571428568</v>
      </c>
      <c r="G388">
        <f>_xlfn.CEILING.MATH($F388)</f>
        <v>8</v>
      </c>
      <c r="H388">
        <f t="shared" si="35"/>
        <v>-1.7857142857142905</v>
      </c>
    </row>
    <row r="389" spans="1:8" x14ac:dyDescent="0.3">
      <c r="A389">
        <v>386</v>
      </c>
      <c r="B389">
        <f t="shared" si="30"/>
        <v>48.25</v>
      </c>
      <c r="C389">
        <f t="shared" si="31"/>
        <v>48</v>
      </c>
      <c r="D389">
        <f t="shared" si="32"/>
        <v>49.125</v>
      </c>
      <c r="E389">
        <f t="shared" si="33"/>
        <v>49</v>
      </c>
      <c r="F389">
        <f t="shared" si="34"/>
        <v>7.8775510204081636</v>
      </c>
      <c r="G389">
        <f>_xlfn.CEILING.MATH($F389)</f>
        <v>8</v>
      </c>
      <c r="H389">
        <f t="shared" si="35"/>
        <v>-1.5306122448979553</v>
      </c>
    </row>
    <row r="390" spans="1:8" x14ac:dyDescent="0.3">
      <c r="A390">
        <v>387</v>
      </c>
      <c r="B390">
        <f t="shared" ref="B390:B453" si="36">$A390/8</f>
        <v>48.375</v>
      </c>
      <c r="C390">
        <f t="shared" ref="C390:C453" si="37">_xlfn.FLOOR.MATH($B390)</f>
        <v>48</v>
      </c>
      <c r="D390">
        <f t="shared" ref="D390:D453" si="38">($A390+7)/8</f>
        <v>49.25</v>
      </c>
      <c r="E390">
        <f t="shared" ref="E390:E453" si="39">_xlfn.FLOOR.MATH($D390)</f>
        <v>49</v>
      </c>
      <c r="F390">
        <f t="shared" ref="F390:F453" si="40">$A390/$E390</f>
        <v>7.8979591836734695</v>
      </c>
      <c r="G390">
        <f>_xlfn.CEILING.MATH($F390)</f>
        <v>8</v>
      </c>
      <c r="H390">
        <f t="shared" ref="H390:H453" si="41">($F390/8-1)*100</f>
        <v>-1.2755102040816313</v>
      </c>
    </row>
    <row r="391" spans="1:8" x14ac:dyDescent="0.3">
      <c r="A391">
        <v>388</v>
      </c>
      <c r="B391">
        <f t="shared" si="36"/>
        <v>48.5</v>
      </c>
      <c r="C391">
        <f t="shared" si="37"/>
        <v>48</v>
      </c>
      <c r="D391">
        <f t="shared" si="38"/>
        <v>49.375</v>
      </c>
      <c r="E391">
        <f t="shared" si="39"/>
        <v>49</v>
      </c>
      <c r="F391">
        <f t="shared" si="40"/>
        <v>7.9183673469387754</v>
      </c>
      <c r="G391">
        <f>_xlfn.CEILING.MATH($F391)</f>
        <v>8</v>
      </c>
      <c r="H391">
        <f t="shared" si="41"/>
        <v>-1.0204081632653073</v>
      </c>
    </row>
    <row r="392" spans="1:8" x14ac:dyDescent="0.3">
      <c r="A392">
        <v>389</v>
      </c>
      <c r="B392">
        <f t="shared" si="36"/>
        <v>48.625</v>
      </c>
      <c r="C392">
        <f t="shared" si="37"/>
        <v>48</v>
      </c>
      <c r="D392">
        <f t="shared" si="38"/>
        <v>49.5</v>
      </c>
      <c r="E392">
        <f t="shared" si="39"/>
        <v>49</v>
      </c>
      <c r="F392">
        <f t="shared" si="40"/>
        <v>7.9387755102040813</v>
      </c>
      <c r="G392">
        <f>_xlfn.CEILING.MATH($F392)</f>
        <v>8</v>
      </c>
      <c r="H392">
        <f t="shared" si="41"/>
        <v>-0.76530612244898322</v>
      </c>
    </row>
    <row r="393" spans="1:8" x14ac:dyDescent="0.3">
      <c r="A393">
        <v>390</v>
      </c>
      <c r="B393">
        <f t="shared" si="36"/>
        <v>48.75</v>
      </c>
      <c r="C393">
        <f t="shared" si="37"/>
        <v>48</v>
      </c>
      <c r="D393">
        <f t="shared" si="38"/>
        <v>49.625</v>
      </c>
      <c r="E393">
        <f t="shared" si="39"/>
        <v>49</v>
      </c>
      <c r="F393">
        <f t="shared" si="40"/>
        <v>7.9591836734693882</v>
      </c>
      <c r="G393">
        <f>_xlfn.CEILING.MATH($F393)</f>
        <v>8</v>
      </c>
      <c r="H393">
        <f t="shared" si="41"/>
        <v>-0.51020408163264808</v>
      </c>
    </row>
    <row r="394" spans="1:8" x14ac:dyDescent="0.3">
      <c r="A394">
        <v>391</v>
      </c>
      <c r="B394">
        <f t="shared" si="36"/>
        <v>48.875</v>
      </c>
      <c r="C394">
        <f t="shared" si="37"/>
        <v>48</v>
      </c>
      <c r="D394">
        <f t="shared" si="38"/>
        <v>49.75</v>
      </c>
      <c r="E394">
        <f t="shared" si="39"/>
        <v>49</v>
      </c>
      <c r="F394">
        <f t="shared" si="40"/>
        <v>7.9795918367346941</v>
      </c>
      <c r="G394">
        <f>_xlfn.CEILING.MATH($F394)</f>
        <v>8</v>
      </c>
      <c r="H394">
        <f t="shared" si="41"/>
        <v>-0.25510204081632404</v>
      </c>
    </row>
    <row r="395" spans="1:8" x14ac:dyDescent="0.3">
      <c r="A395">
        <v>392</v>
      </c>
      <c r="B395">
        <f t="shared" si="36"/>
        <v>49</v>
      </c>
      <c r="C395">
        <f t="shared" si="37"/>
        <v>49</v>
      </c>
      <c r="D395">
        <f t="shared" si="38"/>
        <v>49.875</v>
      </c>
      <c r="E395">
        <f t="shared" si="39"/>
        <v>49</v>
      </c>
      <c r="F395">
        <f t="shared" si="40"/>
        <v>8</v>
      </c>
      <c r="G395">
        <f>_xlfn.CEILING.MATH($F395)</f>
        <v>8</v>
      </c>
      <c r="H395">
        <f t="shared" si="41"/>
        <v>0</v>
      </c>
    </row>
    <row r="396" spans="1:8" x14ac:dyDescent="0.3">
      <c r="A396">
        <v>393</v>
      </c>
      <c r="B396">
        <f t="shared" si="36"/>
        <v>49.125</v>
      </c>
      <c r="C396">
        <f t="shared" si="37"/>
        <v>49</v>
      </c>
      <c r="D396">
        <f t="shared" si="38"/>
        <v>50</v>
      </c>
      <c r="E396">
        <f t="shared" si="39"/>
        <v>50</v>
      </c>
      <c r="F396">
        <f t="shared" si="40"/>
        <v>7.86</v>
      </c>
      <c r="G396">
        <f>_xlfn.CEILING.MATH($F396)</f>
        <v>8</v>
      </c>
      <c r="H396">
        <f t="shared" si="41"/>
        <v>-1.749999999999996</v>
      </c>
    </row>
    <row r="397" spans="1:8" x14ac:dyDescent="0.3">
      <c r="A397">
        <v>394</v>
      </c>
      <c r="B397">
        <f t="shared" si="36"/>
        <v>49.25</v>
      </c>
      <c r="C397">
        <f t="shared" si="37"/>
        <v>49</v>
      </c>
      <c r="D397">
        <f t="shared" si="38"/>
        <v>50.125</v>
      </c>
      <c r="E397">
        <f t="shared" si="39"/>
        <v>50</v>
      </c>
      <c r="F397">
        <f t="shared" si="40"/>
        <v>7.88</v>
      </c>
      <c r="G397">
        <f>_xlfn.CEILING.MATH($F397)</f>
        <v>8</v>
      </c>
      <c r="H397">
        <f t="shared" si="41"/>
        <v>-1.5000000000000013</v>
      </c>
    </row>
    <row r="398" spans="1:8" x14ac:dyDescent="0.3">
      <c r="A398">
        <v>395</v>
      </c>
      <c r="B398">
        <f t="shared" si="36"/>
        <v>49.375</v>
      </c>
      <c r="C398">
        <f t="shared" si="37"/>
        <v>49</v>
      </c>
      <c r="D398">
        <f t="shared" si="38"/>
        <v>50.25</v>
      </c>
      <c r="E398">
        <f t="shared" si="39"/>
        <v>50</v>
      </c>
      <c r="F398">
        <f t="shared" si="40"/>
        <v>7.9</v>
      </c>
      <c r="G398">
        <f>_xlfn.CEILING.MATH($F398)</f>
        <v>8</v>
      </c>
      <c r="H398">
        <f t="shared" si="41"/>
        <v>-1.2499999999999956</v>
      </c>
    </row>
    <row r="399" spans="1:8" x14ac:dyDescent="0.3">
      <c r="A399">
        <v>396</v>
      </c>
      <c r="B399">
        <f t="shared" si="36"/>
        <v>49.5</v>
      </c>
      <c r="C399">
        <f t="shared" si="37"/>
        <v>49</v>
      </c>
      <c r="D399">
        <f t="shared" si="38"/>
        <v>50.375</v>
      </c>
      <c r="E399">
        <f t="shared" si="39"/>
        <v>50</v>
      </c>
      <c r="F399">
        <f t="shared" si="40"/>
        <v>7.92</v>
      </c>
      <c r="G399">
        <f>_xlfn.CEILING.MATH($F399)</f>
        <v>8</v>
      </c>
      <c r="H399">
        <f t="shared" si="41"/>
        <v>-1.0000000000000009</v>
      </c>
    </row>
    <row r="400" spans="1:8" x14ac:dyDescent="0.3">
      <c r="A400">
        <v>397</v>
      </c>
      <c r="B400">
        <f t="shared" si="36"/>
        <v>49.625</v>
      </c>
      <c r="C400">
        <f t="shared" si="37"/>
        <v>49</v>
      </c>
      <c r="D400">
        <f t="shared" si="38"/>
        <v>50.5</v>
      </c>
      <c r="E400">
        <f t="shared" si="39"/>
        <v>50</v>
      </c>
      <c r="F400">
        <f t="shared" si="40"/>
        <v>7.94</v>
      </c>
      <c r="G400">
        <f>_xlfn.CEILING.MATH($F400)</f>
        <v>8</v>
      </c>
      <c r="H400">
        <f t="shared" si="41"/>
        <v>-0.74999999999999512</v>
      </c>
    </row>
    <row r="401" spans="1:8" x14ac:dyDescent="0.3">
      <c r="A401">
        <v>398</v>
      </c>
      <c r="B401">
        <f t="shared" si="36"/>
        <v>49.75</v>
      </c>
      <c r="C401">
        <f t="shared" si="37"/>
        <v>49</v>
      </c>
      <c r="D401">
        <f t="shared" si="38"/>
        <v>50.625</v>
      </c>
      <c r="E401">
        <f t="shared" si="39"/>
        <v>50</v>
      </c>
      <c r="F401">
        <f t="shared" si="40"/>
        <v>7.96</v>
      </c>
      <c r="G401">
        <f>_xlfn.CEILING.MATH($F401)</f>
        <v>8</v>
      </c>
      <c r="H401">
        <f t="shared" si="41"/>
        <v>-0.50000000000000044</v>
      </c>
    </row>
    <row r="402" spans="1:8" x14ac:dyDescent="0.3">
      <c r="A402">
        <v>399</v>
      </c>
      <c r="B402">
        <f t="shared" si="36"/>
        <v>49.875</v>
      </c>
      <c r="C402">
        <f t="shared" si="37"/>
        <v>49</v>
      </c>
      <c r="D402">
        <f t="shared" si="38"/>
        <v>50.75</v>
      </c>
      <c r="E402">
        <f t="shared" si="39"/>
        <v>50</v>
      </c>
      <c r="F402">
        <f t="shared" si="40"/>
        <v>7.98</v>
      </c>
      <c r="G402">
        <f>_xlfn.CEILING.MATH($F402)</f>
        <v>8</v>
      </c>
      <c r="H402">
        <f t="shared" si="41"/>
        <v>-0.24999999999999467</v>
      </c>
    </row>
    <row r="403" spans="1:8" x14ac:dyDescent="0.3">
      <c r="A403">
        <v>400</v>
      </c>
      <c r="B403">
        <f t="shared" si="36"/>
        <v>50</v>
      </c>
      <c r="C403">
        <f t="shared" si="37"/>
        <v>50</v>
      </c>
      <c r="D403">
        <f t="shared" si="38"/>
        <v>50.875</v>
      </c>
      <c r="E403">
        <f t="shared" si="39"/>
        <v>50</v>
      </c>
      <c r="F403">
        <f t="shared" si="40"/>
        <v>8</v>
      </c>
      <c r="G403">
        <f>_xlfn.CEILING.MATH($F403)</f>
        <v>8</v>
      </c>
      <c r="H403">
        <f t="shared" si="41"/>
        <v>0</v>
      </c>
    </row>
    <row r="404" spans="1:8" x14ac:dyDescent="0.3">
      <c r="A404">
        <v>401</v>
      </c>
      <c r="B404">
        <f t="shared" si="36"/>
        <v>50.125</v>
      </c>
      <c r="C404">
        <f t="shared" si="37"/>
        <v>50</v>
      </c>
      <c r="D404">
        <f t="shared" si="38"/>
        <v>51</v>
      </c>
      <c r="E404">
        <f t="shared" si="39"/>
        <v>51</v>
      </c>
      <c r="F404">
        <f t="shared" si="40"/>
        <v>7.8627450980392153</v>
      </c>
      <c r="G404">
        <f>_xlfn.CEILING.MATH($F404)</f>
        <v>8</v>
      </c>
      <c r="H404">
        <f t="shared" si="41"/>
        <v>-1.7156862745098089</v>
      </c>
    </row>
    <row r="405" spans="1:8" x14ac:dyDescent="0.3">
      <c r="A405">
        <v>402</v>
      </c>
      <c r="B405">
        <f t="shared" si="36"/>
        <v>50.25</v>
      </c>
      <c r="C405">
        <f t="shared" si="37"/>
        <v>50</v>
      </c>
      <c r="D405">
        <f t="shared" si="38"/>
        <v>51.125</v>
      </c>
      <c r="E405">
        <f t="shared" si="39"/>
        <v>51</v>
      </c>
      <c r="F405">
        <f t="shared" si="40"/>
        <v>7.882352941176471</v>
      </c>
      <c r="G405">
        <f>_xlfn.CEILING.MATH($F405)</f>
        <v>8</v>
      </c>
      <c r="H405">
        <f t="shared" si="41"/>
        <v>-1.4705882352941124</v>
      </c>
    </row>
    <row r="406" spans="1:8" x14ac:dyDescent="0.3">
      <c r="A406">
        <v>403</v>
      </c>
      <c r="B406">
        <f t="shared" si="36"/>
        <v>50.375</v>
      </c>
      <c r="C406">
        <f t="shared" si="37"/>
        <v>50</v>
      </c>
      <c r="D406">
        <f t="shared" si="38"/>
        <v>51.25</v>
      </c>
      <c r="E406">
        <f t="shared" si="39"/>
        <v>51</v>
      </c>
      <c r="F406">
        <f t="shared" si="40"/>
        <v>7.9019607843137258</v>
      </c>
      <c r="G406">
        <f>_xlfn.CEILING.MATH($F406)</f>
        <v>8</v>
      </c>
      <c r="H406">
        <f t="shared" si="41"/>
        <v>-1.225490196078427</v>
      </c>
    </row>
    <row r="407" spans="1:8" x14ac:dyDescent="0.3">
      <c r="A407">
        <v>404</v>
      </c>
      <c r="B407">
        <f t="shared" si="36"/>
        <v>50.5</v>
      </c>
      <c r="C407">
        <f t="shared" si="37"/>
        <v>50</v>
      </c>
      <c r="D407">
        <f t="shared" si="38"/>
        <v>51.375</v>
      </c>
      <c r="E407">
        <f t="shared" si="39"/>
        <v>51</v>
      </c>
      <c r="F407">
        <f t="shared" si="40"/>
        <v>7.9215686274509807</v>
      </c>
      <c r="G407">
        <f>_xlfn.CEILING.MATH($F407)</f>
        <v>8</v>
      </c>
      <c r="H407">
        <f t="shared" si="41"/>
        <v>-0.98039215686274161</v>
      </c>
    </row>
    <row r="408" spans="1:8" x14ac:dyDescent="0.3">
      <c r="A408">
        <v>405</v>
      </c>
      <c r="B408">
        <f t="shared" si="36"/>
        <v>50.625</v>
      </c>
      <c r="C408">
        <f t="shared" si="37"/>
        <v>50</v>
      </c>
      <c r="D408">
        <f t="shared" si="38"/>
        <v>51.5</v>
      </c>
      <c r="E408">
        <f t="shared" si="39"/>
        <v>51</v>
      </c>
      <c r="F408">
        <f t="shared" si="40"/>
        <v>7.9411764705882355</v>
      </c>
      <c r="G408">
        <f>_xlfn.CEILING.MATH($F408)</f>
        <v>8</v>
      </c>
      <c r="H408">
        <f t="shared" si="41"/>
        <v>-0.73529411764705621</v>
      </c>
    </row>
    <row r="409" spans="1:8" x14ac:dyDescent="0.3">
      <c r="A409">
        <v>406</v>
      </c>
      <c r="B409">
        <f t="shared" si="36"/>
        <v>50.75</v>
      </c>
      <c r="C409">
        <f t="shared" si="37"/>
        <v>50</v>
      </c>
      <c r="D409">
        <f t="shared" si="38"/>
        <v>51.625</v>
      </c>
      <c r="E409">
        <f t="shared" si="39"/>
        <v>51</v>
      </c>
      <c r="F409">
        <f t="shared" si="40"/>
        <v>7.9607843137254903</v>
      </c>
      <c r="G409">
        <f>_xlfn.CEILING.MATH($F409)</f>
        <v>8</v>
      </c>
      <c r="H409">
        <f t="shared" si="41"/>
        <v>-0.49019607843137081</v>
      </c>
    </row>
    <row r="410" spans="1:8" x14ac:dyDescent="0.3">
      <c r="A410">
        <v>407</v>
      </c>
      <c r="B410">
        <f t="shared" si="36"/>
        <v>50.875</v>
      </c>
      <c r="C410">
        <f t="shared" si="37"/>
        <v>50</v>
      </c>
      <c r="D410">
        <f t="shared" si="38"/>
        <v>51.75</v>
      </c>
      <c r="E410">
        <f t="shared" si="39"/>
        <v>51</v>
      </c>
      <c r="F410">
        <f t="shared" si="40"/>
        <v>7.9803921568627452</v>
      </c>
      <c r="G410">
        <f>_xlfn.CEILING.MATH($F410)</f>
        <v>8</v>
      </c>
      <c r="H410">
        <f t="shared" si="41"/>
        <v>-0.2450980392156854</v>
      </c>
    </row>
    <row r="411" spans="1:8" x14ac:dyDescent="0.3">
      <c r="A411">
        <v>408</v>
      </c>
      <c r="B411">
        <f t="shared" si="36"/>
        <v>51</v>
      </c>
      <c r="C411">
        <f t="shared" si="37"/>
        <v>51</v>
      </c>
      <c r="D411">
        <f t="shared" si="38"/>
        <v>51.875</v>
      </c>
      <c r="E411">
        <f t="shared" si="39"/>
        <v>51</v>
      </c>
      <c r="F411">
        <f t="shared" si="40"/>
        <v>8</v>
      </c>
      <c r="G411">
        <f>_xlfn.CEILING.MATH($F411)</f>
        <v>8</v>
      </c>
      <c r="H411">
        <f t="shared" si="41"/>
        <v>0</v>
      </c>
    </row>
    <row r="412" spans="1:8" x14ac:dyDescent="0.3">
      <c r="A412">
        <v>409</v>
      </c>
      <c r="B412">
        <f t="shared" si="36"/>
        <v>51.125</v>
      </c>
      <c r="C412">
        <f t="shared" si="37"/>
        <v>51</v>
      </c>
      <c r="D412">
        <f t="shared" si="38"/>
        <v>52</v>
      </c>
      <c r="E412">
        <f t="shared" si="39"/>
        <v>52</v>
      </c>
      <c r="F412">
        <f t="shared" si="40"/>
        <v>7.865384615384615</v>
      </c>
      <c r="G412">
        <f>_xlfn.CEILING.MATH($F412)</f>
        <v>8</v>
      </c>
      <c r="H412">
        <f t="shared" si="41"/>
        <v>-1.6826923076923128</v>
      </c>
    </row>
    <row r="413" spans="1:8" x14ac:dyDescent="0.3">
      <c r="A413">
        <v>410</v>
      </c>
      <c r="B413">
        <f t="shared" si="36"/>
        <v>51.25</v>
      </c>
      <c r="C413">
        <f t="shared" si="37"/>
        <v>51</v>
      </c>
      <c r="D413">
        <f t="shared" si="38"/>
        <v>52.125</v>
      </c>
      <c r="E413">
        <f t="shared" si="39"/>
        <v>52</v>
      </c>
      <c r="F413">
        <f t="shared" si="40"/>
        <v>7.884615384615385</v>
      </c>
      <c r="G413">
        <f>_xlfn.CEILING.MATH($F413)</f>
        <v>8</v>
      </c>
      <c r="H413">
        <f t="shared" si="41"/>
        <v>-1.4423076923076872</v>
      </c>
    </row>
    <row r="414" spans="1:8" x14ac:dyDescent="0.3">
      <c r="A414">
        <v>411</v>
      </c>
      <c r="B414">
        <f t="shared" si="36"/>
        <v>51.375</v>
      </c>
      <c r="C414">
        <f t="shared" si="37"/>
        <v>51</v>
      </c>
      <c r="D414">
        <f t="shared" si="38"/>
        <v>52.25</v>
      </c>
      <c r="E414">
        <f t="shared" si="39"/>
        <v>52</v>
      </c>
      <c r="F414">
        <f t="shared" si="40"/>
        <v>7.9038461538461542</v>
      </c>
      <c r="G414">
        <f>_xlfn.CEILING.MATH($F414)</f>
        <v>8</v>
      </c>
      <c r="H414">
        <f t="shared" si="41"/>
        <v>-1.2019230769230727</v>
      </c>
    </row>
    <row r="415" spans="1:8" x14ac:dyDescent="0.3">
      <c r="A415">
        <v>412</v>
      </c>
      <c r="B415">
        <f t="shared" si="36"/>
        <v>51.5</v>
      </c>
      <c r="C415">
        <f t="shared" si="37"/>
        <v>51</v>
      </c>
      <c r="D415">
        <f t="shared" si="38"/>
        <v>52.375</v>
      </c>
      <c r="E415">
        <f t="shared" si="39"/>
        <v>52</v>
      </c>
      <c r="F415">
        <f t="shared" si="40"/>
        <v>7.9230769230769234</v>
      </c>
      <c r="G415">
        <f>_xlfn.CEILING.MATH($F415)</f>
        <v>8</v>
      </c>
      <c r="H415">
        <f t="shared" si="41"/>
        <v>-0.96153846153845812</v>
      </c>
    </row>
    <row r="416" spans="1:8" x14ac:dyDescent="0.3">
      <c r="A416">
        <v>413</v>
      </c>
      <c r="B416">
        <f t="shared" si="36"/>
        <v>51.625</v>
      </c>
      <c r="C416">
        <f t="shared" si="37"/>
        <v>51</v>
      </c>
      <c r="D416">
        <f t="shared" si="38"/>
        <v>52.5</v>
      </c>
      <c r="E416">
        <f t="shared" si="39"/>
        <v>52</v>
      </c>
      <c r="F416">
        <f t="shared" si="40"/>
        <v>7.9423076923076925</v>
      </c>
      <c r="G416">
        <f>_xlfn.CEILING.MATH($F416)</f>
        <v>8</v>
      </c>
      <c r="H416">
        <f t="shared" si="41"/>
        <v>-0.72115384615384359</v>
      </c>
    </row>
    <row r="417" spans="1:8" x14ac:dyDescent="0.3">
      <c r="A417">
        <v>414</v>
      </c>
      <c r="B417">
        <f t="shared" si="36"/>
        <v>51.75</v>
      </c>
      <c r="C417">
        <f t="shared" si="37"/>
        <v>51</v>
      </c>
      <c r="D417">
        <f t="shared" si="38"/>
        <v>52.625</v>
      </c>
      <c r="E417">
        <f t="shared" si="39"/>
        <v>52</v>
      </c>
      <c r="F417">
        <f t="shared" si="40"/>
        <v>7.9615384615384617</v>
      </c>
      <c r="G417">
        <f>_xlfn.CEILING.MATH($F417)</f>
        <v>8</v>
      </c>
      <c r="H417">
        <f t="shared" si="41"/>
        <v>-0.48076923076922906</v>
      </c>
    </row>
    <row r="418" spans="1:8" x14ac:dyDescent="0.3">
      <c r="A418">
        <v>415</v>
      </c>
      <c r="B418">
        <f t="shared" si="36"/>
        <v>51.875</v>
      </c>
      <c r="C418">
        <f t="shared" si="37"/>
        <v>51</v>
      </c>
      <c r="D418">
        <f t="shared" si="38"/>
        <v>52.75</v>
      </c>
      <c r="E418">
        <f t="shared" si="39"/>
        <v>52</v>
      </c>
      <c r="F418">
        <f t="shared" si="40"/>
        <v>7.9807692307692308</v>
      </c>
      <c r="G418">
        <f>_xlfn.CEILING.MATH($F418)</f>
        <v>8</v>
      </c>
      <c r="H418">
        <f t="shared" si="41"/>
        <v>-0.24038461538461453</v>
      </c>
    </row>
    <row r="419" spans="1:8" x14ac:dyDescent="0.3">
      <c r="A419">
        <v>416</v>
      </c>
      <c r="B419">
        <f t="shared" si="36"/>
        <v>52</v>
      </c>
      <c r="C419">
        <f t="shared" si="37"/>
        <v>52</v>
      </c>
      <c r="D419">
        <f t="shared" si="38"/>
        <v>52.875</v>
      </c>
      <c r="E419">
        <f t="shared" si="39"/>
        <v>52</v>
      </c>
      <c r="F419">
        <f t="shared" si="40"/>
        <v>8</v>
      </c>
      <c r="G419">
        <f>_xlfn.CEILING.MATH($F419)</f>
        <v>8</v>
      </c>
      <c r="H419">
        <f t="shared" si="41"/>
        <v>0</v>
      </c>
    </row>
    <row r="420" spans="1:8" x14ac:dyDescent="0.3">
      <c r="A420">
        <v>417</v>
      </c>
      <c r="B420">
        <f t="shared" si="36"/>
        <v>52.125</v>
      </c>
      <c r="C420">
        <f t="shared" si="37"/>
        <v>52</v>
      </c>
      <c r="D420">
        <f t="shared" si="38"/>
        <v>53</v>
      </c>
      <c r="E420">
        <f t="shared" si="39"/>
        <v>53</v>
      </c>
      <c r="F420">
        <f t="shared" si="40"/>
        <v>7.867924528301887</v>
      </c>
      <c r="G420">
        <f>_xlfn.CEILING.MATH($F420)</f>
        <v>8</v>
      </c>
      <c r="H420">
        <f t="shared" si="41"/>
        <v>-1.650943396226412</v>
      </c>
    </row>
    <row r="421" spans="1:8" x14ac:dyDescent="0.3">
      <c r="A421">
        <v>418</v>
      </c>
      <c r="B421">
        <f t="shared" si="36"/>
        <v>52.25</v>
      </c>
      <c r="C421">
        <f t="shared" si="37"/>
        <v>52</v>
      </c>
      <c r="D421">
        <f t="shared" si="38"/>
        <v>53.125</v>
      </c>
      <c r="E421">
        <f t="shared" si="39"/>
        <v>53</v>
      </c>
      <c r="F421">
        <f t="shared" si="40"/>
        <v>7.8867924528301883</v>
      </c>
      <c r="G421">
        <f>_xlfn.CEILING.MATH($F421)</f>
        <v>8</v>
      </c>
      <c r="H421">
        <f t="shared" si="41"/>
        <v>-1.4150943396226467</v>
      </c>
    </row>
    <row r="422" spans="1:8" x14ac:dyDescent="0.3">
      <c r="A422">
        <v>419</v>
      </c>
      <c r="B422">
        <f t="shared" si="36"/>
        <v>52.375</v>
      </c>
      <c r="C422">
        <f t="shared" si="37"/>
        <v>52</v>
      </c>
      <c r="D422">
        <f t="shared" si="38"/>
        <v>53.25</v>
      </c>
      <c r="E422">
        <f t="shared" si="39"/>
        <v>53</v>
      </c>
      <c r="F422">
        <f t="shared" si="40"/>
        <v>7.9056603773584904</v>
      </c>
      <c r="G422">
        <f>_xlfn.CEILING.MATH($F422)</f>
        <v>8</v>
      </c>
      <c r="H422">
        <f t="shared" si="41"/>
        <v>-1.1792452830188704</v>
      </c>
    </row>
    <row r="423" spans="1:8" x14ac:dyDescent="0.3">
      <c r="A423">
        <v>420</v>
      </c>
      <c r="B423">
        <f t="shared" si="36"/>
        <v>52.5</v>
      </c>
      <c r="C423">
        <f t="shared" si="37"/>
        <v>52</v>
      </c>
      <c r="D423">
        <f t="shared" si="38"/>
        <v>53.375</v>
      </c>
      <c r="E423">
        <f t="shared" si="39"/>
        <v>53</v>
      </c>
      <c r="F423">
        <f t="shared" si="40"/>
        <v>7.9245283018867925</v>
      </c>
      <c r="G423">
        <f>_xlfn.CEILING.MATH($F423)</f>
        <v>8</v>
      </c>
      <c r="H423">
        <f t="shared" si="41"/>
        <v>-0.94339622641509413</v>
      </c>
    </row>
    <row r="424" spans="1:8" x14ac:dyDescent="0.3">
      <c r="A424">
        <v>421</v>
      </c>
      <c r="B424">
        <f t="shared" si="36"/>
        <v>52.625</v>
      </c>
      <c r="C424">
        <f t="shared" si="37"/>
        <v>52</v>
      </c>
      <c r="D424">
        <f t="shared" si="38"/>
        <v>53.5</v>
      </c>
      <c r="E424">
        <f t="shared" si="39"/>
        <v>53</v>
      </c>
      <c r="F424">
        <f t="shared" si="40"/>
        <v>7.9433962264150946</v>
      </c>
      <c r="G424">
        <f>_xlfn.CEILING.MATH($F424)</f>
        <v>8</v>
      </c>
      <c r="H424">
        <f t="shared" si="41"/>
        <v>-0.70754716981131782</v>
      </c>
    </row>
    <row r="425" spans="1:8" x14ac:dyDescent="0.3">
      <c r="A425">
        <v>422</v>
      </c>
      <c r="B425">
        <f t="shared" si="36"/>
        <v>52.75</v>
      </c>
      <c r="C425">
        <f t="shared" si="37"/>
        <v>52</v>
      </c>
      <c r="D425">
        <f t="shared" si="38"/>
        <v>53.625</v>
      </c>
      <c r="E425">
        <f t="shared" si="39"/>
        <v>53</v>
      </c>
      <c r="F425">
        <f t="shared" si="40"/>
        <v>7.9622641509433958</v>
      </c>
      <c r="G425">
        <f>_xlfn.CEILING.MATH($F425)</f>
        <v>8</v>
      </c>
      <c r="H425">
        <f t="shared" si="41"/>
        <v>-0.47169811320755262</v>
      </c>
    </row>
    <row r="426" spans="1:8" x14ac:dyDescent="0.3">
      <c r="A426">
        <v>423</v>
      </c>
      <c r="B426">
        <f t="shared" si="36"/>
        <v>52.875</v>
      </c>
      <c r="C426">
        <f t="shared" si="37"/>
        <v>52</v>
      </c>
      <c r="D426">
        <f t="shared" si="38"/>
        <v>53.75</v>
      </c>
      <c r="E426">
        <f t="shared" si="39"/>
        <v>53</v>
      </c>
      <c r="F426">
        <f t="shared" si="40"/>
        <v>7.9811320754716979</v>
      </c>
      <c r="G426">
        <f>_xlfn.CEILING.MATH($F426)</f>
        <v>8</v>
      </c>
      <c r="H426">
        <f t="shared" si="41"/>
        <v>-0.23584905660377631</v>
      </c>
    </row>
    <row r="427" spans="1:8" x14ac:dyDescent="0.3">
      <c r="A427">
        <v>424</v>
      </c>
      <c r="B427">
        <f t="shared" si="36"/>
        <v>53</v>
      </c>
      <c r="C427">
        <f t="shared" si="37"/>
        <v>53</v>
      </c>
      <c r="D427">
        <f t="shared" si="38"/>
        <v>53.875</v>
      </c>
      <c r="E427">
        <f t="shared" si="39"/>
        <v>53</v>
      </c>
      <c r="F427">
        <f t="shared" si="40"/>
        <v>8</v>
      </c>
      <c r="G427">
        <f>_xlfn.CEILING.MATH($F427)</f>
        <v>8</v>
      </c>
      <c r="H427">
        <f t="shared" si="41"/>
        <v>0</v>
      </c>
    </row>
    <row r="428" spans="1:8" x14ac:dyDescent="0.3">
      <c r="A428">
        <v>425</v>
      </c>
      <c r="B428">
        <f t="shared" si="36"/>
        <v>53.125</v>
      </c>
      <c r="C428">
        <f t="shared" si="37"/>
        <v>53</v>
      </c>
      <c r="D428">
        <f t="shared" si="38"/>
        <v>54</v>
      </c>
      <c r="E428">
        <f t="shared" si="39"/>
        <v>54</v>
      </c>
      <c r="F428">
        <f t="shared" si="40"/>
        <v>7.8703703703703702</v>
      </c>
      <c r="G428">
        <f>_xlfn.CEILING.MATH($F428)</f>
        <v>8</v>
      </c>
      <c r="H428">
        <f t="shared" si="41"/>
        <v>-1.620370370370372</v>
      </c>
    </row>
    <row r="429" spans="1:8" x14ac:dyDescent="0.3">
      <c r="A429">
        <v>426</v>
      </c>
      <c r="B429">
        <f t="shared" si="36"/>
        <v>53.25</v>
      </c>
      <c r="C429">
        <f t="shared" si="37"/>
        <v>53</v>
      </c>
      <c r="D429">
        <f t="shared" si="38"/>
        <v>54.125</v>
      </c>
      <c r="E429">
        <f t="shared" si="39"/>
        <v>54</v>
      </c>
      <c r="F429">
        <f t="shared" si="40"/>
        <v>7.8888888888888893</v>
      </c>
      <c r="G429">
        <f>_xlfn.CEILING.MATH($F429)</f>
        <v>8</v>
      </c>
      <c r="H429">
        <f t="shared" si="41"/>
        <v>-1.388888888888884</v>
      </c>
    </row>
    <row r="430" spans="1:8" x14ac:dyDescent="0.3">
      <c r="A430">
        <v>427</v>
      </c>
      <c r="B430">
        <f t="shared" si="36"/>
        <v>53.375</v>
      </c>
      <c r="C430">
        <f t="shared" si="37"/>
        <v>53</v>
      </c>
      <c r="D430">
        <f t="shared" si="38"/>
        <v>54.25</v>
      </c>
      <c r="E430">
        <f t="shared" si="39"/>
        <v>54</v>
      </c>
      <c r="F430">
        <f t="shared" si="40"/>
        <v>7.9074074074074074</v>
      </c>
      <c r="G430">
        <f>_xlfn.CEILING.MATH($F430)</f>
        <v>8</v>
      </c>
      <c r="H430">
        <f t="shared" si="41"/>
        <v>-1.157407407407407</v>
      </c>
    </row>
    <row r="431" spans="1:8" x14ac:dyDescent="0.3">
      <c r="A431">
        <v>428</v>
      </c>
      <c r="B431">
        <f t="shared" si="36"/>
        <v>53.5</v>
      </c>
      <c r="C431">
        <f t="shared" si="37"/>
        <v>53</v>
      </c>
      <c r="D431">
        <f t="shared" si="38"/>
        <v>54.375</v>
      </c>
      <c r="E431">
        <f t="shared" si="39"/>
        <v>54</v>
      </c>
      <c r="F431">
        <f t="shared" si="40"/>
        <v>7.9259259259259256</v>
      </c>
      <c r="G431">
        <f>_xlfn.CEILING.MATH($F431)</f>
        <v>8</v>
      </c>
      <c r="H431">
        <f t="shared" si="41"/>
        <v>-0.92592592592593004</v>
      </c>
    </row>
    <row r="432" spans="1:8" x14ac:dyDescent="0.3">
      <c r="A432">
        <v>429</v>
      </c>
      <c r="B432">
        <f t="shared" si="36"/>
        <v>53.625</v>
      </c>
      <c r="C432">
        <f t="shared" si="37"/>
        <v>53</v>
      </c>
      <c r="D432">
        <f t="shared" si="38"/>
        <v>54.5</v>
      </c>
      <c r="E432">
        <f t="shared" si="39"/>
        <v>54</v>
      </c>
      <c r="F432">
        <f t="shared" si="40"/>
        <v>7.9444444444444446</v>
      </c>
      <c r="G432">
        <f>_xlfn.CEILING.MATH($F432)</f>
        <v>8</v>
      </c>
      <c r="H432">
        <f t="shared" si="41"/>
        <v>-0.69444444444444198</v>
      </c>
    </row>
    <row r="433" spans="1:8" x14ac:dyDescent="0.3">
      <c r="A433">
        <v>430</v>
      </c>
      <c r="B433">
        <f t="shared" si="36"/>
        <v>53.75</v>
      </c>
      <c r="C433">
        <f t="shared" si="37"/>
        <v>53</v>
      </c>
      <c r="D433">
        <f t="shared" si="38"/>
        <v>54.625</v>
      </c>
      <c r="E433">
        <f t="shared" si="39"/>
        <v>54</v>
      </c>
      <c r="F433">
        <f t="shared" si="40"/>
        <v>7.9629629629629628</v>
      </c>
      <c r="G433">
        <f>_xlfn.CEILING.MATH($F433)</f>
        <v>8</v>
      </c>
      <c r="H433">
        <f t="shared" si="41"/>
        <v>-0.46296296296296502</v>
      </c>
    </row>
    <row r="434" spans="1:8" x14ac:dyDescent="0.3">
      <c r="A434">
        <v>431</v>
      </c>
      <c r="B434">
        <f t="shared" si="36"/>
        <v>53.875</v>
      </c>
      <c r="C434">
        <f t="shared" si="37"/>
        <v>53</v>
      </c>
      <c r="D434">
        <f t="shared" si="38"/>
        <v>54.75</v>
      </c>
      <c r="E434">
        <f t="shared" si="39"/>
        <v>54</v>
      </c>
      <c r="F434">
        <f t="shared" si="40"/>
        <v>7.9814814814814818</v>
      </c>
      <c r="G434">
        <f>_xlfn.CEILING.MATH($F434)</f>
        <v>8</v>
      </c>
      <c r="H434">
        <f t="shared" si="41"/>
        <v>-0.23148148148147696</v>
      </c>
    </row>
    <row r="435" spans="1:8" x14ac:dyDescent="0.3">
      <c r="A435">
        <v>432</v>
      </c>
      <c r="B435">
        <f t="shared" si="36"/>
        <v>54</v>
      </c>
      <c r="C435">
        <f t="shared" si="37"/>
        <v>54</v>
      </c>
      <c r="D435">
        <f t="shared" si="38"/>
        <v>54.875</v>
      </c>
      <c r="E435">
        <f t="shared" si="39"/>
        <v>54</v>
      </c>
      <c r="F435">
        <f t="shared" si="40"/>
        <v>8</v>
      </c>
      <c r="G435">
        <f>_xlfn.CEILING.MATH($F435)</f>
        <v>8</v>
      </c>
      <c r="H435">
        <f t="shared" si="41"/>
        <v>0</v>
      </c>
    </row>
    <row r="436" spans="1:8" x14ac:dyDescent="0.3">
      <c r="A436">
        <v>433</v>
      </c>
      <c r="B436">
        <f t="shared" si="36"/>
        <v>54.125</v>
      </c>
      <c r="C436">
        <f t="shared" si="37"/>
        <v>54</v>
      </c>
      <c r="D436">
        <f t="shared" si="38"/>
        <v>55</v>
      </c>
      <c r="E436">
        <f t="shared" si="39"/>
        <v>55</v>
      </c>
      <c r="F436">
        <f t="shared" si="40"/>
        <v>7.872727272727273</v>
      </c>
      <c r="G436">
        <f>_xlfn.CEILING.MATH($F436)</f>
        <v>8</v>
      </c>
      <c r="H436">
        <f t="shared" si="41"/>
        <v>-1.5909090909090873</v>
      </c>
    </row>
    <row r="437" spans="1:8" x14ac:dyDescent="0.3">
      <c r="A437">
        <v>434</v>
      </c>
      <c r="B437">
        <f t="shared" si="36"/>
        <v>54.25</v>
      </c>
      <c r="C437">
        <f t="shared" si="37"/>
        <v>54</v>
      </c>
      <c r="D437">
        <f t="shared" si="38"/>
        <v>55.125</v>
      </c>
      <c r="E437">
        <f t="shared" si="39"/>
        <v>55</v>
      </c>
      <c r="F437">
        <f t="shared" si="40"/>
        <v>7.8909090909090907</v>
      </c>
      <c r="G437">
        <f>_xlfn.CEILING.MATH($F437)</f>
        <v>8</v>
      </c>
      <c r="H437">
        <f t="shared" si="41"/>
        <v>-1.3636363636363669</v>
      </c>
    </row>
    <row r="438" spans="1:8" x14ac:dyDescent="0.3">
      <c r="A438">
        <v>435</v>
      </c>
      <c r="B438">
        <f t="shared" si="36"/>
        <v>54.375</v>
      </c>
      <c r="C438">
        <f t="shared" si="37"/>
        <v>54</v>
      </c>
      <c r="D438">
        <f t="shared" si="38"/>
        <v>55.25</v>
      </c>
      <c r="E438">
        <f t="shared" si="39"/>
        <v>55</v>
      </c>
      <c r="F438">
        <f t="shared" si="40"/>
        <v>7.9090909090909092</v>
      </c>
      <c r="G438">
        <f>_xlfn.CEILING.MATH($F438)</f>
        <v>8</v>
      </c>
      <c r="H438">
        <f t="shared" si="41"/>
        <v>-1.1363636363636354</v>
      </c>
    </row>
    <row r="439" spans="1:8" x14ac:dyDescent="0.3">
      <c r="A439">
        <v>436</v>
      </c>
      <c r="B439">
        <f t="shared" si="36"/>
        <v>54.5</v>
      </c>
      <c r="C439">
        <f t="shared" si="37"/>
        <v>54</v>
      </c>
      <c r="D439">
        <f t="shared" si="38"/>
        <v>55.375</v>
      </c>
      <c r="E439">
        <f t="shared" si="39"/>
        <v>55</v>
      </c>
      <c r="F439">
        <f t="shared" si="40"/>
        <v>7.9272727272727277</v>
      </c>
      <c r="G439">
        <f>_xlfn.CEILING.MATH($F439)</f>
        <v>8</v>
      </c>
      <c r="H439">
        <f t="shared" si="41"/>
        <v>-0.90909090909090384</v>
      </c>
    </row>
    <row r="440" spans="1:8" x14ac:dyDescent="0.3">
      <c r="A440">
        <v>437</v>
      </c>
      <c r="B440">
        <f t="shared" si="36"/>
        <v>54.625</v>
      </c>
      <c r="C440">
        <f t="shared" si="37"/>
        <v>54</v>
      </c>
      <c r="D440">
        <f t="shared" si="38"/>
        <v>55.5</v>
      </c>
      <c r="E440">
        <f t="shared" si="39"/>
        <v>55</v>
      </c>
      <c r="F440">
        <f t="shared" si="40"/>
        <v>7.9454545454545453</v>
      </c>
      <c r="G440">
        <f>_xlfn.CEILING.MATH($F440)</f>
        <v>8</v>
      </c>
      <c r="H440">
        <f t="shared" si="41"/>
        <v>-0.68181818181818343</v>
      </c>
    </row>
    <row r="441" spans="1:8" x14ac:dyDescent="0.3">
      <c r="A441">
        <v>438</v>
      </c>
      <c r="B441">
        <f t="shared" si="36"/>
        <v>54.75</v>
      </c>
      <c r="C441">
        <f t="shared" si="37"/>
        <v>54</v>
      </c>
      <c r="D441">
        <f t="shared" si="38"/>
        <v>55.625</v>
      </c>
      <c r="E441">
        <f t="shared" si="39"/>
        <v>55</v>
      </c>
      <c r="F441">
        <f t="shared" si="40"/>
        <v>7.9636363636363638</v>
      </c>
      <c r="G441">
        <f>_xlfn.CEILING.MATH($F441)</f>
        <v>8</v>
      </c>
      <c r="H441">
        <f t="shared" si="41"/>
        <v>-0.45454545454545192</v>
      </c>
    </row>
    <row r="442" spans="1:8" x14ac:dyDescent="0.3">
      <c r="A442">
        <v>439</v>
      </c>
      <c r="B442">
        <f t="shared" si="36"/>
        <v>54.875</v>
      </c>
      <c r="C442">
        <f t="shared" si="37"/>
        <v>54</v>
      </c>
      <c r="D442">
        <f t="shared" si="38"/>
        <v>55.75</v>
      </c>
      <c r="E442">
        <f t="shared" si="39"/>
        <v>55</v>
      </c>
      <c r="F442">
        <f t="shared" si="40"/>
        <v>7.9818181818181815</v>
      </c>
      <c r="G442">
        <f>_xlfn.CEILING.MATH($F442)</f>
        <v>8</v>
      </c>
      <c r="H442">
        <f t="shared" si="41"/>
        <v>-0.22727272727273151</v>
      </c>
    </row>
    <row r="443" spans="1:8" x14ac:dyDescent="0.3">
      <c r="A443">
        <v>440</v>
      </c>
      <c r="B443">
        <f t="shared" si="36"/>
        <v>55</v>
      </c>
      <c r="C443">
        <f t="shared" si="37"/>
        <v>55</v>
      </c>
      <c r="D443">
        <f t="shared" si="38"/>
        <v>55.875</v>
      </c>
      <c r="E443">
        <f t="shared" si="39"/>
        <v>55</v>
      </c>
      <c r="F443">
        <f t="shared" si="40"/>
        <v>8</v>
      </c>
      <c r="G443">
        <f>_xlfn.CEILING.MATH($F443)</f>
        <v>8</v>
      </c>
      <c r="H443">
        <f t="shared" si="41"/>
        <v>0</v>
      </c>
    </row>
    <row r="444" spans="1:8" x14ac:dyDescent="0.3">
      <c r="A444">
        <v>441</v>
      </c>
      <c r="B444">
        <f t="shared" si="36"/>
        <v>55.125</v>
      </c>
      <c r="C444">
        <f t="shared" si="37"/>
        <v>55</v>
      </c>
      <c r="D444">
        <f t="shared" si="38"/>
        <v>56</v>
      </c>
      <c r="E444">
        <f t="shared" si="39"/>
        <v>56</v>
      </c>
      <c r="F444">
        <f t="shared" si="40"/>
        <v>7.875</v>
      </c>
      <c r="G444">
        <f>_xlfn.CEILING.MATH($F444)</f>
        <v>8</v>
      </c>
      <c r="H444">
        <f t="shared" si="41"/>
        <v>-1.5625</v>
      </c>
    </row>
    <row r="445" spans="1:8" x14ac:dyDescent="0.3">
      <c r="A445">
        <v>442</v>
      </c>
      <c r="B445">
        <f t="shared" si="36"/>
        <v>55.25</v>
      </c>
      <c r="C445">
        <f t="shared" si="37"/>
        <v>55</v>
      </c>
      <c r="D445">
        <f t="shared" si="38"/>
        <v>56.125</v>
      </c>
      <c r="E445">
        <f t="shared" si="39"/>
        <v>56</v>
      </c>
      <c r="F445">
        <f t="shared" si="40"/>
        <v>7.8928571428571432</v>
      </c>
      <c r="G445">
        <f>_xlfn.CEILING.MATH($F445)</f>
        <v>8</v>
      </c>
      <c r="H445">
        <f t="shared" si="41"/>
        <v>-1.3392857142857095</v>
      </c>
    </row>
    <row r="446" spans="1:8" x14ac:dyDescent="0.3">
      <c r="A446">
        <v>443</v>
      </c>
      <c r="B446">
        <f t="shared" si="36"/>
        <v>55.375</v>
      </c>
      <c r="C446">
        <f t="shared" si="37"/>
        <v>55</v>
      </c>
      <c r="D446">
        <f t="shared" si="38"/>
        <v>56.25</v>
      </c>
      <c r="E446">
        <f t="shared" si="39"/>
        <v>56</v>
      </c>
      <c r="F446">
        <f t="shared" si="40"/>
        <v>7.9107142857142856</v>
      </c>
      <c r="G446">
        <f>_xlfn.CEILING.MATH($F446)</f>
        <v>8</v>
      </c>
      <c r="H446">
        <f t="shared" si="41"/>
        <v>-1.1160714285714302</v>
      </c>
    </row>
    <row r="447" spans="1:8" x14ac:dyDescent="0.3">
      <c r="A447">
        <v>444</v>
      </c>
      <c r="B447">
        <f t="shared" si="36"/>
        <v>55.5</v>
      </c>
      <c r="C447">
        <f t="shared" si="37"/>
        <v>55</v>
      </c>
      <c r="D447">
        <f t="shared" si="38"/>
        <v>56.375</v>
      </c>
      <c r="E447">
        <f t="shared" si="39"/>
        <v>56</v>
      </c>
      <c r="F447">
        <f t="shared" si="40"/>
        <v>7.9285714285714288</v>
      </c>
      <c r="G447">
        <f>_xlfn.CEILING.MATH($F447)</f>
        <v>8</v>
      </c>
      <c r="H447">
        <f t="shared" si="41"/>
        <v>-0.89285714285713969</v>
      </c>
    </row>
    <row r="448" spans="1:8" x14ac:dyDescent="0.3">
      <c r="A448">
        <v>445</v>
      </c>
      <c r="B448">
        <f t="shared" si="36"/>
        <v>55.625</v>
      </c>
      <c r="C448">
        <f t="shared" si="37"/>
        <v>55</v>
      </c>
      <c r="D448">
        <f t="shared" si="38"/>
        <v>56.5</v>
      </c>
      <c r="E448">
        <f t="shared" si="39"/>
        <v>56</v>
      </c>
      <c r="F448">
        <f t="shared" si="40"/>
        <v>7.9464285714285712</v>
      </c>
      <c r="G448">
        <f>_xlfn.CEILING.MATH($F448)</f>
        <v>8</v>
      </c>
      <c r="H448">
        <f t="shared" si="41"/>
        <v>-0.66964285714286031</v>
      </c>
    </row>
    <row r="449" spans="1:8" x14ac:dyDescent="0.3">
      <c r="A449">
        <v>446</v>
      </c>
      <c r="B449">
        <f t="shared" si="36"/>
        <v>55.75</v>
      </c>
      <c r="C449">
        <f t="shared" si="37"/>
        <v>55</v>
      </c>
      <c r="D449">
        <f t="shared" si="38"/>
        <v>56.625</v>
      </c>
      <c r="E449">
        <f t="shared" si="39"/>
        <v>56</v>
      </c>
      <c r="F449">
        <f t="shared" si="40"/>
        <v>7.9642857142857144</v>
      </c>
      <c r="G449">
        <f>_xlfn.CEILING.MATH($F449)</f>
        <v>8</v>
      </c>
      <c r="H449">
        <f t="shared" si="41"/>
        <v>-0.44642857142856984</v>
      </c>
    </row>
    <row r="450" spans="1:8" x14ac:dyDescent="0.3">
      <c r="A450">
        <v>447</v>
      </c>
      <c r="B450">
        <f t="shared" si="36"/>
        <v>55.875</v>
      </c>
      <c r="C450">
        <f t="shared" si="37"/>
        <v>55</v>
      </c>
      <c r="D450">
        <f t="shared" si="38"/>
        <v>56.75</v>
      </c>
      <c r="E450">
        <f t="shared" si="39"/>
        <v>56</v>
      </c>
      <c r="F450">
        <f t="shared" si="40"/>
        <v>7.9821428571428568</v>
      </c>
      <c r="G450">
        <f>_xlfn.CEILING.MATH($F450)</f>
        <v>8</v>
      </c>
      <c r="H450">
        <f t="shared" si="41"/>
        <v>-0.22321428571429047</v>
      </c>
    </row>
    <row r="451" spans="1:8" x14ac:dyDescent="0.3">
      <c r="A451">
        <v>448</v>
      </c>
      <c r="B451">
        <f t="shared" si="36"/>
        <v>56</v>
      </c>
      <c r="C451">
        <f t="shared" si="37"/>
        <v>56</v>
      </c>
      <c r="D451">
        <f t="shared" si="38"/>
        <v>56.875</v>
      </c>
      <c r="E451">
        <f t="shared" si="39"/>
        <v>56</v>
      </c>
      <c r="F451">
        <f t="shared" si="40"/>
        <v>8</v>
      </c>
      <c r="G451">
        <f>_xlfn.CEILING.MATH($F451)</f>
        <v>8</v>
      </c>
      <c r="H451">
        <f t="shared" si="41"/>
        <v>0</v>
      </c>
    </row>
    <row r="452" spans="1:8" x14ac:dyDescent="0.3">
      <c r="A452">
        <v>449</v>
      </c>
      <c r="B452">
        <f t="shared" si="36"/>
        <v>56.125</v>
      </c>
      <c r="C452">
        <f t="shared" si="37"/>
        <v>56</v>
      </c>
      <c r="D452">
        <f t="shared" si="38"/>
        <v>57</v>
      </c>
      <c r="E452">
        <f t="shared" si="39"/>
        <v>57</v>
      </c>
      <c r="F452">
        <f t="shared" si="40"/>
        <v>7.8771929824561404</v>
      </c>
      <c r="G452">
        <f>_xlfn.CEILING.MATH($F452)</f>
        <v>8</v>
      </c>
      <c r="H452">
        <f t="shared" si="41"/>
        <v>-1.5350877192982448</v>
      </c>
    </row>
    <row r="453" spans="1:8" x14ac:dyDescent="0.3">
      <c r="A453">
        <v>450</v>
      </c>
      <c r="B453">
        <f t="shared" si="36"/>
        <v>56.25</v>
      </c>
      <c r="C453">
        <f t="shared" si="37"/>
        <v>56</v>
      </c>
      <c r="D453">
        <f t="shared" si="38"/>
        <v>57.125</v>
      </c>
      <c r="E453">
        <f t="shared" si="39"/>
        <v>57</v>
      </c>
      <c r="F453">
        <f t="shared" si="40"/>
        <v>7.8947368421052628</v>
      </c>
      <c r="G453">
        <f>_xlfn.CEILING.MATH($F453)</f>
        <v>8</v>
      </c>
      <c r="H453">
        <f t="shared" si="41"/>
        <v>-1.3157894736842146</v>
      </c>
    </row>
    <row r="454" spans="1:8" x14ac:dyDescent="0.3">
      <c r="A454">
        <v>451</v>
      </c>
      <c r="B454">
        <f t="shared" ref="B454:B517" si="42">$A454/8</f>
        <v>56.375</v>
      </c>
      <c r="C454">
        <f t="shared" ref="C454:C517" si="43">_xlfn.FLOOR.MATH($B454)</f>
        <v>56</v>
      </c>
      <c r="D454">
        <f t="shared" ref="D454:D517" si="44">($A454+7)/8</f>
        <v>57.25</v>
      </c>
      <c r="E454">
        <f t="shared" ref="E454:E517" si="45">_xlfn.FLOOR.MATH($D454)</f>
        <v>57</v>
      </c>
      <c r="F454">
        <f t="shared" ref="F454:F517" si="46">$A454/$E454</f>
        <v>7.9122807017543861</v>
      </c>
      <c r="G454">
        <f>_xlfn.CEILING.MATH($F454)</f>
        <v>8</v>
      </c>
      <c r="H454">
        <f t="shared" ref="H454:H517" si="47">($F454/8-1)*100</f>
        <v>-1.0964912280701733</v>
      </c>
    </row>
    <row r="455" spans="1:8" x14ac:dyDescent="0.3">
      <c r="A455">
        <v>452</v>
      </c>
      <c r="B455">
        <f t="shared" si="42"/>
        <v>56.5</v>
      </c>
      <c r="C455">
        <f t="shared" si="43"/>
        <v>56</v>
      </c>
      <c r="D455">
        <f t="shared" si="44"/>
        <v>57.375</v>
      </c>
      <c r="E455">
        <f t="shared" si="45"/>
        <v>57</v>
      </c>
      <c r="F455">
        <f t="shared" si="46"/>
        <v>7.9298245614035086</v>
      </c>
      <c r="G455">
        <f>_xlfn.CEILING.MATH($F455)</f>
        <v>8</v>
      </c>
      <c r="H455">
        <f t="shared" si="47"/>
        <v>-0.87719298245614308</v>
      </c>
    </row>
    <row r="456" spans="1:8" x14ac:dyDescent="0.3">
      <c r="A456">
        <v>453</v>
      </c>
      <c r="B456">
        <f t="shared" si="42"/>
        <v>56.625</v>
      </c>
      <c r="C456">
        <f t="shared" si="43"/>
        <v>56</v>
      </c>
      <c r="D456">
        <f t="shared" si="44"/>
        <v>57.5</v>
      </c>
      <c r="E456">
        <f t="shared" si="45"/>
        <v>57</v>
      </c>
      <c r="F456">
        <f t="shared" si="46"/>
        <v>7.9473684210526319</v>
      </c>
      <c r="G456">
        <f>_xlfn.CEILING.MATH($F456)</f>
        <v>8</v>
      </c>
      <c r="H456">
        <f t="shared" si="47"/>
        <v>-0.65789473684210176</v>
      </c>
    </row>
    <row r="457" spans="1:8" x14ac:dyDescent="0.3">
      <c r="A457">
        <v>454</v>
      </c>
      <c r="B457">
        <f t="shared" si="42"/>
        <v>56.75</v>
      </c>
      <c r="C457">
        <f t="shared" si="43"/>
        <v>56</v>
      </c>
      <c r="D457">
        <f t="shared" si="44"/>
        <v>57.625</v>
      </c>
      <c r="E457">
        <f t="shared" si="45"/>
        <v>57</v>
      </c>
      <c r="F457">
        <f t="shared" si="46"/>
        <v>7.9649122807017543</v>
      </c>
      <c r="G457">
        <f>_xlfn.CEILING.MATH($F457)</f>
        <v>8</v>
      </c>
      <c r="H457">
        <f t="shared" si="47"/>
        <v>-0.43859649122807154</v>
      </c>
    </row>
    <row r="458" spans="1:8" x14ac:dyDescent="0.3">
      <c r="A458">
        <v>455</v>
      </c>
      <c r="B458">
        <f t="shared" si="42"/>
        <v>56.875</v>
      </c>
      <c r="C458">
        <f t="shared" si="43"/>
        <v>56</v>
      </c>
      <c r="D458">
        <f t="shared" si="44"/>
        <v>57.75</v>
      </c>
      <c r="E458">
        <f t="shared" si="45"/>
        <v>57</v>
      </c>
      <c r="F458">
        <f t="shared" si="46"/>
        <v>7.9824561403508776</v>
      </c>
      <c r="G458">
        <f>_xlfn.CEILING.MATH($F458)</f>
        <v>8</v>
      </c>
      <c r="H458">
        <f t="shared" si="47"/>
        <v>-0.21929824561403022</v>
      </c>
    </row>
    <row r="459" spans="1:8" x14ac:dyDescent="0.3">
      <c r="A459">
        <v>456</v>
      </c>
      <c r="B459">
        <f t="shared" si="42"/>
        <v>57</v>
      </c>
      <c r="C459">
        <f t="shared" si="43"/>
        <v>57</v>
      </c>
      <c r="D459">
        <f t="shared" si="44"/>
        <v>57.875</v>
      </c>
      <c r="E459">
        <f t="shared" si="45"/>
        <v>57</v>
      </c>
      <c r="F459">
        <f t="shared" si="46"/>
        <v>8</v>
      </c>
      <c r="G459">
        <f>_xlfn.CEILING.MATH($F459)</f>
        <v>8</v>
      </c>
      <c r="H459">
        <f t="shared" si="47"/>
        <v>0</v>
      </c>
    </row>
    <row r="460" spans="1:8" x14ac:dyDescent="0.3">
      <c r="A460">
        <v>457</v>
      </c>
      <c r="B460">
        <f t="shared" si="42"/>
        <v>57.125</v>
      </c>
      <c r="C460">
        <f t="shared" si="43"/>
        <v>57</v>
      </c>
      <c r="D460">
        <f t="shared" si="44"/>
        <v>58</v>
      </c>
      <c r="E460">
        <f t="shared" si="45"/>
        <v>58</v>
      </c>
      <c r="F460">
        <f t="shared" si="46"/>
        <v>7.8793103448275863</v>
      </c>
      <c r="G460">
        <f>_xlfn.CEILING.MATH($F460)</f>
        <v>8</v>
      </c>
      <c r="H460">
        <f t="shared" si="47"/>
        <v>-1.5086206896551713</v>
      </c>
    </row>
    <row r="461" spans="1:8" x14ac:dyDescent="0.3">
      <c r="A461">
        <v>458</v>
      </c>
      <c r="B461">
        <f t="shared" si="42"/>
        <v>57.25</v>
      </c>
      <c r="C461">
        <f t="shared" si="43"/>
        <v>57</v>
      </c>
      <c r="D461">
        <f t="shared" si="44"/>
        <v>58.125</v>
      </c>
      <c r="E461">
        <f t="shared" si="45"/>
        <v>58</v>
      </c>
      <c r="F461">
        <f t="shared" si="46"/>
        <v>7.8965517241379306</v>
      </c>
      <c r="G461">
        <f>_xlfn.CEILING.MATH($F461)</f>
        <v>8</v>
      </c>
      <c r="H461">
        <f t="shared" si="47"/>
        <v>-1.2931034482758674</v>
      </c>
    </row>
    <row r="462" spans="1:8" x14ac:dyDescent="0.3">
      <c r="A462">
        <v>459</v>
      </c>
      <c r="B462">
        <f t="shared" si="42"/>
        <v>57.375</v>
      </c>
      <c r="C462">
        <f t="shared" si="43"/>
        <v>57</v>
      </c>
      <c r="D462">
        <f t="shared" si="44"/>
        <v>58.25</v>
      </c>
      <c r="E462">
        <f t="shared" si="45"/>
        <v>58</v>
      </c>
      <c r="F462">
        <f t="shared" si="46"/>
        <v>7.9137931034482758</v>
      </c>
      <c r="G462">
        <f>_xlfn.CEILING.MATH($F462)</f>
        <v>8</v>
      </c>
      <c r="H462">
        <f t="shared" si="47"/>
        <v>-1.0775862068965525</v>
      </c>
    </row>
    <row r="463" spans="1:8" x14ac:dyDescent="0.3">
      <c r="A463">
        <v>460</v>
      </c>
      <c r="B463">
        <f t="shared" si="42"/>
        <v>57.5</v>
      </c>
      <c r="C463">
        <f t="shared" si="43"/>
        <v>57</v>
      </c>
      <c r="D463">
        <f t="shared" si="44"/>
        <v>58.375</v>
      </c>
      <c r="E463">
        <f t="shared" si="45"/>
        <v>58</v>
      </c>
      <c r="F463">
        <f t="shared" si="46"/>
        <v>7.931034482758621</v>
      </c>
      <c r="G463">
        <f>_xlfn.CEILING.MATH($F463)</f>
        <v>8</v>
      </c>
      <c r="H463">
        <f t="shared" si="47"/>
        <v>-0.86206896551723755</v>
      </c>
    </row>
    <row r="464" spans="1:8" x14ac:dyDescent="0.3">
      <c r="A464">
        <v>461</v>
      </c>
      <c r="B464">
        <f t="shared" si="42"/>
        <v>57.625</v>
      </c>
      <c r="C464">
        <f t="shared" si="43"/>
        <v>57</v>
      </c>
      <c r="D464">
        <f t="shared" si="44"/>
        <v>58.5</v>
      </c>
      <c r="E464">
        <f t="shared" si="45"/>
        <v>58</v>
      </c>
      <c r="F464">
        <f t="shared" si="46"/>
        <v>7.9482758620689653</v>
      </c>
      <c r="G464">
        <f>_xlfn.CEILING.MATH($F464)</f>
        <v>8</v>
      </c>
      <c r="H464">
        <f t="shared" si="47"/>
        <v>-0.64655172413793371</v>
      </c>
    </row>
    <row r="465" spans="1:8" x14ac:dyDescent="0.3">
      <c r="A465">
        <v>462</v>
      </c>
      <c r="B465">
        <f t="shared" si="42"/>
        <v>57.75</v>
      </c>
      <c r="C465">
        <f t="shared" si="43"/>
        <v>57</v>
      </c>
      <c r="D465">
        <f t="shared" si="44"/>
        <v>58.625</v>
      </c>
      <c r="E465">
        <f t="shared" si="45"/>
        <v>58</v>
      </c>
      <c r="F465">
        <f t="shared" si="46"/>
        <v>7.9655172413793105</v>
      </c>
      <c r="G465">
        <f>_xlfn.CEILING.MATH($F465)</f>
        <v>8</v>
      </c>
      <c r="H465">
        <f t="shared" si="47"/>
        <v>-0.43103448275861878</v>
      </c>
    </row>
    <row r="466" spans="1:8" x14ac:dyDescent="0.3">
      <c r="A466">
        <v>463</v>
      </c>
      <c r="B466">
        <f t="shared" si="42"/>
        <v>57.875</v>
      </c>
      <c r="C466">
        <f t="shared" si="43"/>
        <v>57</v>
      </c>
      <c r="D466">
        <f t="shared" si="44"/>
        <v>58.75</v>
      </c>
      <c r="E466">
        <f t="shared" si="45"/>
        <v>58</v>
      </c>
      <c r="F466">
        <f t="shared" si="46"/>
        <v>7.9827586206896548</v>
      </c>
      <c r="G466">
        <f>_xlfn.CEILING.MATH($F466)</f>
        <v>8</v>
      </c>
      <c r="H466">
        <f t="shared" si="47"/>
        <v>-0.21551724137931494</v>
      </c>
    </row>
    <row r="467" spans="1:8" x14ac:dyDescent="0.3">
      <c r="A467">
        <v>464</v>
      </c>
      <c r="B467">
        <f t="shared" si="42"/>
        <v>58</v>
      </c>
      <c r="C467">
        <f t="shared" si="43"/>
        <v>58</v>
      </c>
      <c r="D467">
        <f t="shared" si="44"/>
        <v>58.875</v>
      </c>
      <c r="E467">
        <f t="shared" si="45"/>
        <v>58</v>
      </c>
      <c r="F467">
        <f t="shared" si="46"/>
        <v>8</v>
      </c>
      <c r="G467">
        <f>_xlfn.CEILING.MATH($F467)</f>
        <v>8</v>
      </c>
      <c r="H467">
        <f t="shared" si="47"/>
        <v>0</v>
      </c>
    </row>
    <row r="468" spans="1:8" x14ac:dyDescent="0.3">
      <c r="A468">
        <v>465</v>
      </c>
      <c r="B468">
        <f t="shared" si="42"/>
        <v>58.125</v>
      </c>
      <c r="C468">
        <f t="shared" si="43"/>
        <v>58</v>
      </c>
      <c r="D468">
        <f t="shared" si="44"/>
        <v>59</v>
      </c>
      <c r="E468">
        <f t="shared" si="45"/>
        <v>59</v>
      </c>
      <c r="F468">
        <f t="shared" si="46"/>
        <v>7.8813559322033901</v>
      </c>
      <c r="G468">
        <f>_xlfn.CEILING.MATH($F468)</f>
        <v>8</v>
      </c>
      <c r="H468">
        <f t="shared" si="47"/>
        <v>-1.4830508474576232</v>
      </c>
    </row>
    <row r="469" spans="1:8" x14ac:dyDescent="0.3">
      <c r="A469">
        <v>466</v>
      </c>
      <c r="B469">
        <f t="shared" si="42"/>
        <v>58.25</v>
      </c>
      <c r="C469">
        <f t="shared" si="43"/>
        <v>58</v>
      </c>
      <c r="D469">
        <f t="shared" si="44"/>
        <v>59.125</v>
      </c>
      <c r="E469">
        <f t="shared" si="45"/>
        <v>59</v>
      </c>
      <c r="F469">
        <f t="shared" si="46"/>
        <v>7.898305084745763</v>
      </c>
      <c r="G469">
        <f>_xlfn.CEILING.MATH($F469)</f>
        <v>8</v>
      </c>
      <c r="H469">
        <f t="shared" si="47"/>
        <v>-1.2711864406779627</v>
      </c>
    </row>
    <row r="470" spans="1:8" x14ac:dyDescent="0.3">
      <c r="A470">
        <v>467</v>
      </c>
      <c r="B470">
        <f t="shared" si="42"/>
        <v>58.375</v>
      </c>
      <c r="C470">
        <f t="shared" si="43"/>
        <v>58</v>
      </c>
      <c r="D470">
        <f t="shared" si="44"/>
        <v>59.25</v>
      </c>
      <c r="E470">
        <f t="shared" si="45"/>
        <v>59</v>
      </c>
      <c r="F470">
        <f t="shared" si="46"/>
        <v>7.9152542372881358</v>
      </c>
      <c r="G470">
        <f>_xlfn.CEILING.MATH($F470)</f>
        <v>8</v>
      </c>
      <c r="H470">
        <f t="shared" si="47"/>
        <v>-1.0593220338983023</v>
      </c>
    </row>
    <row r="471" spans="1:8" x14ac:dyDescent="0.3">
      <c r="A471">
        <v>468</v>
      </c>
      <c r="B471">
        <f t="shared" si="42"/>
        <v>58.5</v>
      </c>
      <c r="C471">
        <f t="shared" si="43"/>
        <v>58</v>
      </c>
      <c r="D471">
        <f t="shared" si="44"/>
        <v>59.375</v>
      </c>
      <c r="E471">
        <f t="shared" si="45"/>
        <v>59</v>
      </c>
      <c r="F471">
        <f t="shared" si="46"/>
        <v>7.9322033898305087</v>
      </c>
      <c r="G471">
        <f>_xlfn.CEILING.MATH($F471)</f>
        <v>8</v>
      </c>
      <c r="H471">
        <f t="shared" si="47"/>
        <v>-0.84745762711864181</v>
      </c>
    </row>
    <row r="472" spans="1:8" x14ac:dyDescent="0.3">
      <c r="A472">
        <v>469</v>
      </c>
      <c r="B472">
        <f t="shared" si="42"/>
        <v>58.625</v>
      </c>
      <c r="C472">
        <f t="shared" si="43"/>
        <v>58</v>
      </c>
      <c r="D472">
        <f t="shared" si="44"/>
        <v>59.5</v>
      </c>
      <c r="E472">
        <f t="shared" si="45"/>
        <v>59</v>
      </c>
      <c r="F472">
        <f t="shared" si="46"/>
        <v>7.9491525423728815</v>
      </c>
      <c r="G472">
        <f>_xlfn.CEILING.MATH($F472)</f>
        <v>8</v>
      </c>
      <c r="H472">
        <f t="shared" si="47"/>
        <v>-0.63559322033898136</v>
      </c>
    </row>
    <row r="473" spans="1:8" x14ac:dyDescent="0.3">
      <c r="A473">
        <v>470</v>
      </c>
      <c r="B473">
        <f t="shared" si="42"/>
        <v>58.75</v>
      </c>
      <c r="C473">
        <f t="shared" si="43"/>
        <v>58</v>
      </c>
      <c r="D473">
        <f t="shared" si="44"/>
        <v>59.625</v>
      </c>
      <c r="E473">
        <f t="shared" si="45"/>
        <v>59</v>
      </c>
      <c r="F473">
        <f t="shared" si="46"/>
        <v>7.9661016949152543</v>
      </c>
      <c r="G473">
        <f>_xlfn.CEILING.MATH($F473)</f>
        <v>8</v>
      </c>
      <c r="H473">
        <f t="shared" si="47"/>
        <v>-0.4237288135593209</v>
      </c>
    </row>
    <row r="474" spans="1:8" x14ac:dyDescent="0.3">
      <c r="A474">
        <v>471</v>
      </c>
      <c r="B474">
        <f t="shared" si="42"/>
        <v>58.875</v>
      </c>
      <c r="C474">
        <f t="shared" si="43"/>
        <v>58</v>
      </c>
      <c r="D474">
        <f t="shared" si="44"/>
        <v>59.75</v>
      </c>
      <c r="E474">
        <f t="shared" si="45"/>
        <v>59</v>
      </c>
      <c r="F474">
        <f t="shared" si="46"/>
        <v>7.9830508474576272</v>
      </c>
      <c r="G474">
        <f>_xlfn.CEILING.MATH($F474)</f>
        <v>8</v>
      </c>
      <c r="H474">
        <f t="shared" si="47"/>
        <v>-0.21186440677966045</v>
      </c>
    </row>
    <row r="475" spans="1:8" x14ac:dyDescent="0.3">
      <c r="A475">
        <v>472</v>
      </c>
      <c r="B475">
        <f t="shared" si="42"/>
        <v>59</v>
      </c>
      <c r="C475">
        <f t="shared" si="43"/>
        <v>59</v>
      </c>
      <c r="D475">
        <f t="shared" si="44"/>
        <v>59.875</v>
      </c>
      <c r="E475">
        <f t="shared" si="45"/>
        <v>59</v>
      </c>
      <c r="F475">
        <f t="shared" si="46"/>
        <v>8</v>
      </c>
      <c r="G475">
        <f>_xlfn.CEILING.MATH($F475)</f>
        <v>8</v>
      </c>
      <c r="H475">
        <f t="shared" si="47"/>
        <v>0</v>
      </c>
    </row>
    <row r="476" spans="1:8" x14ac:dyDescent="0.3">
      <c r="A476">
        <v>473</v>
      </c>
      <c r="B476">
        <f t="shared" si="42"/>
        <v>59.125</v>
      </c>
      <c r="C476">
        <f t="shared" si="43"/>
        <v>59</v>
      </c>
      <c r="D476">
        <f t="shared" si="44"/>
        <v>60</v>
      </c>
      <c r="E476">
        <f t="shared" si="45"/>
        <v>60</v>
      </c>
      <c r="F476">
        <f t="shared" si="46"/>
        <v>7.8833333333333337</v>
      </c>
      <c r="G476">
        <f>_xlfn.CEILING.MATH($F476)</f>
        <v>8</v>
      </c>
      <c r="H476">
        <f t="shared" si="47"/>
        <v>-1.4583333333333282</v>
      </c>
    </row>
    <row r="477" spans="1:8" x14ac:dyDescent="0.3">
      <c r="A477">
        <v>474</v>
      </c>
      <c r="B477">
        <f t="shared" si="42"/>
        <v>59.25</v>
      </c>
      <c r="C477">
        <f t="shared" si="43"/>
        <v>59</v>
      </c>
      <c r="D477">
        <f t="shared" si="44"/>
        <v>60.125</v>
      </c>
      <c r="E477">
        <f t="shared" si="45"/>
        <v>60</v>
      </c>
      <c r="F477">
        <f t="shared" si="46"/>
        <v>7.9</v>
      </c>
      <c r="G477">
        <f>_xlfn.CEILING.MATH($F477)</f>
        <v>8</v>
      </c>
      <c r="H477">
        <f t="shared" si="47"/>
        <v>-1.2499999999999956</v>
      </c>
    </row>
    <row r="478" spans="1:8" x14ac:dyDescent="0.3">
      <c r="A478">
        <v>475</v>
      </c>
      <c r="B478">
        <f t="shared" si="42"/>
        <v>59.375</v>
      </c>
      <c r="C478">
        <f t="shared" si="43"/>
        <v>59</v>
      </c>
      <c r="D478">
        <f t="shared" si="44"/>
        <v>60.25</v>
      </c>
      <c r="E478">
        <f t="shared" si="45"/>
        <v>60</v>
      </c>
      <c r="F478">
        <f t="shared" si="46"/>
        <v>7.916666666666667</v>
      </c>
      <c r="G478">
        <f>_xlfn.CEILING.MATH($F478)</f>
        <v>8</v>
      </c>
      <c r="H478">
        <f t="shared" si="47"/>
        <v>-1.041666666666663</v>
      </c>
    </row>
    <row r="479" spans="1:8" x14ac:dyDescent="0.3">
      <c r="A479">
        <v>476</v>
      </c>
      <c r="B479">
        <f t="shared" si="42"/>
        <v>59.5</v>
      </c>
      <c r="C479">
        <f t="shared" si="43"/>
        <v>59</v>
      </c>
      <c r="D479">
        <f t="shared" si="44"/>
        <v>60.375</v>
      </c>
      <c r="E479">
        <f t="shared" si="45"/>
        <v>60</v>
      </c>
      <c r="F479">
        <f t="shared" si="46"/>
        <v>7.9333333333333336</v>
      </c>
      <c r="G479">
        <f>_xlfn.CEILING.MATH($F479)</f>
        <v>8</v>
      </c>
      <c r="H479">
        <f t="shared" si="47"/>
        <v>-0.83333333333333037</v>
      </c>
    </row>
    <row r="480" spans="1:8" x14ac:dyDescent="0.3">
      <c r="A480">
        <v>477</v>
      </c>
      <c r="B480">
        <f t="shared" si="42"/>
        <v>59.625</v>
      </c>
      <c r="C480">
        <f t="shared" si="43"/>
        <v>59</v>
      </c>
      <c r="D480">
        <f t="shared" si="44"/>
        <v>60.5</v>
      </c>
      <c r="E480">
        <f t="shared" si="45"/>
        <v>60</v>
      </c>
      <c r="F480">
        <f t="shared" si="46"/>
        <v>7.95</v>
      </c>
      <c r="G480">
        <f>_xlfn.CEILING.MATH($F480)</f>
        <v>8</v>
      </c>
      <c r="H480">
        <f t="shared" si="47"/>
        <v>-0.62499999999999778</v>
      </c>
    </row>
    <row r="481" spans="1:8" x14ac:dyDescent="0.3">
      <c r="A481">
        <v>478</v>
      </c>
      <c r="B481">
        <f t="shared" si="42"/>
        <v>59.75</v>
      </c>
      <c r="C481">
        <f t="shared" si="43"/>
        <v>59</v>
      </c>
      <c r="D481">
        <f t="shared" si="44"/>
        <v>60.625</v>
      </c>
      <c r="E481">
        <f t="shared" si="45"/>
        <v>60</v>
      </c>
      <c r="F481">
        <f t="shared" si="46"/>
        <v>7.9666666666666668</v>
      </c>
      <c r="G481">
        <f>_xlfn.CEILING.MATH($F481)</f>
        <v>8</v>
      </c>
      <c r="H481">
        <f t="shared" si="47"/>
        <v>-0.41666666666666519</v>
      </c>
    </row>
    <row r="482" spans="1:8" x14ac:dyDescent="0.3">
      <c r="A482">
        <v>479</v>
      </c>
      <c r="B482">
        <f t="shared" si="42"/>
        <v>59.875</v>
      </c>
      <c r="C482">
        <f t="shared" si="43"/>
        <v>59</v>
      </c>
      <c r="D482">
        <f t="shared" si="44"/>
        <v>60.75</v>
      </c>
      <c r="E482">
        <f t="shared" si="45"/>
        <v>60</v>
      </c>
      <c r="F482">
        <f t="shared" si="46"/>
        <v>7.9833333333333334</v>
      </c>
      <c r="G482">
        <f>_xlfn.CEILING.MATH($F482)</f>
        <v>8</v>
      </c>
      <c r="H482">
        <f t="shared" si="47"/>
        <v>-0.20833333333333259</v>
      </c>
    </row>
    <row r="483" spans="1:8" x14ac:dyDescent="0.3">
      <c r="A483">
        <v>480</v>
      </c>
      <c r="B483">
        <f t="shared" si="42"/>
        <v>60</v>
      </c>
      <c r="C483">
        <f t="shared" si="43"/>
        <v>60</v>
      </c>
      <c r="D483">
        <f t="shared" si="44"/>
        <v>60.875</v>
      </c>
      <c r="E483">
        <f t="shared" si="45"/>
        <v>60</v>
      </c>
      <c r="F483">
        <f t="shared" si="46"/>
        <v>8</v>
      </c>
      <c r="G483">
        <f>_xlfn.CEILING.MATH($F483)</f>
        <v>8</v>
      </c>
      <c r="H483">
        <f t="shared" si="47"/>
        <v>0</v>
      </c>
    </row>
    <row r="484" spans="1:8" x14ac:dyDescent="0.3">
      <c r="A484">
        <v>481</v>
      </c>
      <c r="B484">
        <f t="shared" si="42"/>
        <v>60.125</v>
      </c>
      <c r="C484">
        <f t="shared" si="43"/>
        <v>60</v>
      </c>
      <c r="D484">
        <f t="shared" si="44"/>
        <v>61</v>
      </c>
      <c r="E484">
        <f t="shared" si="45"/>
        <v>61</v>
      </c>
      <c r="F484">
        <f t="shared" si="46"/>
        <v>7.8852459016393439</v>
      </c>
      <c r="G484">
        <f>_xlfn.CEILING.MATH($F484)</f>
        <v>8</v>
      </c>
      <c r="H484">
        <f t="shared" si="47"/>
        <v>-1.4344262295082011</v>
      </c>
    </row>
    <row r="485" spans="1:8" x14ac:dyDescent="0.3">
      <c r="A485">
        <v>482</v>
      </c>
      <c r="B485">
        <f t="shared" si="42"/>
        <v>60.25</v>
      </c>
      <c r="C485">
        <f t="shared" si="43"/>
        <v>60</v>
      </c>
      <c r="D485">
        <f t="shared" si="44"/>
        <v>61.125</v>
      </c>
      <c r="E485">
        <f t="shared" si="45"/>
        <v>61</v>
      </c>
      <c r="F485">
        <f t="shared" si="46"/>
        <v>7.9016393442622954</v>
      </c>
      <c r="G485">
        <f>_xlfn.CEILING.MATH($F485)</f>
        <v>8</v>
      </c>
      <c r="H485">
        <f t="shared" si="47"/>
        <v>-1.2295081967213073</v>
      </c>
    </row>
    <row r="486" spans="1:8" x14ac:dyDescent="0.3">
      <c r="A486">
        <v>483</v>
      </c>
      <c r="B486">
        <f t="shared" si="42"/>
        <v>60.375</v>
      </c>
      <c r="C486">
        <f t="shared" si="43"/>
        <v>60</v>
      </c>
      <c r="D486">
        <f t="shared" si="44"/>
        <v>61.25</v>
      </c>
      <c r="E486">
        <f t="shared" si="45"/>
        <v>61</v>
      </c>
      <c r="F486">
        <f t="shared" si="46"/>
        <v>7.918032786885246</v>
      </c>
      <c r="G486">
        <f>_xlfn.CEILING.MATH($F486)</f>
        <v>8</v>
      </c>
      <c r="H486">
        <f t="shared" si="47"/>
        <v>-1.0245901639344246</v>
      </c>
    </row>
    <row r="487" spans="1:8" x14ac:dyDescent="0.3">
      <c r="A487">
        <v>484</v>
      </c>
      <c r="B487">
        <f t="shared" si="42"/>
        <v>60.5</v>
      </c>
      <c r="C487">
        <f t="shared" si="43"/>
        <v>60</v>
      </c>
      <c r="D487">
        <f t="shared" si="44"/>
        <v>61.375</v>
      </c>
      <c r="E487">
        <f t="shared" si="45"/>
        <v>61</v>
      </c>
      <c r="F487">
        <f t="shared" si="46"/>
        <v>7.9344262295081966</v>
      </c>
      <c r="G487">
        <f>_xlfn.CEILING.MATH($F487)</f>
        <v>8</v>
      </c>
      <c r="H487">
        <f t="shared" si="47"/>
        <v>-0.81967213114754189</v>
      </c>
    </row>
    <row r="488" spans="1:8" x14ac:dyDescent="0.3">
      <c r="A488">
        <v>485</v>
      </c>
      <c r="B488">
        <f t="shared" si="42"/>
        <v>60.625</v>
      </c>
      <c r="C488">
        <f t="shared" si="43"/>
        <v>60</v>
      </c>
      <c r="D488">
        <f t="shared" si="44"/>
        <v>61.5</v>
      </c>
      <c r="E488">
        <f t="shared" si="45"/>
        <v>61</v>
      </c>
      <c r="F488">
        <f t="shared" si="46"/>
        <v>7.9508196721311473</v>
      </c>
      <c r="G488">
        <f>_xlfn.CEILING.MATH($F488)</f>
        <v>8</v>
      </c>
      <c r="H488">
        <f t="shared" si="47"/>
        <v>-0.6147540983606592</v>
      </c>
    </row>
    <row r="489" spans="1:8" x14ac:dyDescent="0.3">
      <c r="A489">
        <v>486</v>
      </c>
      <c r="B489">
        <f t="shared" si="42"/>
        <v>60.75</v>
      </c>
      <c r="C489">
        <f t="shared" si="43"/>
        <v>60</v>
      </c>
      <c r="D489">
        <f t="shared" si="44"/>
        <v>61.625</v>
      </c>
      <c r="E489">
        <f t="shared" si="45"/>
        <v>61</v>
      </c>
      <c r="F489">
        <f t="shared" si="46"/>
        <v>7.9672131147540988</v>
      </c>
      <c r="G489">
        <f>_xlfn.CEILING.MATH($F489)</f>
        <v>8</v>
      </c>
      <c r="H489">
        <f t="shared" si="47"/>
        <v>-0.4098360655737654</v>
      </c>
    </row>
    <row r="490" spans="1:8" x14ac:dyDescent="0.3">
      <c r="A490">
        <v>487</v>
      </c>
      <c r="B490">
        <f t="shared" si="42"/>
        <v>60.875</v>
      </c>
      <c r="C490">
        <f t="shared" si="43"/>
        <v>60</v>
      </c>
      <c r="D490">
        <f t="shared" si="44"/>
        <v>61.75</v>
      </c>
      <c r="E490">
        <f t="shared" si="45"/>
        <v>61</v>
      </c>
      <c r="F490">
        <f t="shared" si="46"/>
        <v>7.9836065573770494</v>
      </c>
      <c r="G490">
        <f>_xlfn.CEILING.MATH($F490)</f>
        <v>8</v>
      </c>
      <c r="H490">
        <f t="shared" si="47"/>
        <v>-0.2049180327868827</v>
      </c>
    </row>
    <row r="491" spans="1:8" x14ac:dyDescent="0.3">
      <c r="A491">
        <v>488</v>
      </c>
      <c r="B491">
        <f t="shared" si="42"/>
        <v>61</v>
      </c>
      <c r="C491">
        <f t="shared" si="43"/>
        <v>61</v>
      </c>
      <c r="D491">
        <f t="shared" si="44"/>
        <v>61.875</v>
      </c>
      <c r="E491">
        <f t="shared" si="45"/>
        <v>61</v>
      </c>
      <c r="F491">
        <f t="shared" si="46"/>
        <v>8</v>
      </c>
      <c r="G491">
        <f>_xlfn.CEILING.MATH($F491)</f>
        <v>8</v>
      </c>
      <c r="H491">
        <f t="shared" si="47"/>
        <v>0</v>
      </c>
    </row>
    <row r="492" spans="1:8" x14ac:dyDescent="0.3">
      <c r="A492">
        <v>489</v>
      </c>
      <c r="B492">
        <f t="shared" si="42"/>
        <v>61.125</v>
      </c>
      <c r="C492">
        <f t="shared" si="43"/>
        <v>61</v>
      </c>
      <c r="D492">
        <f t="shared" si="44"/>
        <v>62</v>
      </c>
      <c r="E492">
        <f t="shared" si="45"/>
        <v>62</v>
      </c>
      <c r="F492">
        <f t="shared" si="46"/>
        <v>7.887096774193548</v>
      </c>
      <c r="G492">
        <f>_xlfn.CEILING.MATH($F492)</f>
        <v>8</v>
      </c>
      <c r="H492">
        <f t="shared" si="47"/>
        <v>-1.4112903225806495</v>
      </c>
    </row>
    <row r="493" spans="1:8" x14ac:dyDescent="0.3">
      <c r="A493">
        <v>490</v>
      </c>
      <c r="B493">
        <f t="shared" si="42"/>
        <v>61.25</v>
      </c>
      <c r="C493">
        <f t="shared" si="43"/>
        <v>61</v>
      </c>
      <c r="D493">
        <f t="shared" si="44"/>
        <v>62.125</v>
      </c>
      <c r="E493">
        <f t="shared" si="45"/>
        <v>62</v>
      </c>
      <c r="F493">
        <f t="shared" si="46"/>
        <v>7.903225806451613</v>
      </c>
      <c r="G493">
        <f>_xlfn.CEILING.MATH($F493)</f>
        <v>8</v>
      </c>
      <c r="H493">
        <f t="shared" si="47"/>
        <v>-1.2096774193548376</v>
      </c>
    </row>
    <row r="494" spans="1:8" x14ac:dyDescent="0.3">
      <c r="A494">
        <v>491</v>
      </c>
      <c r="B494">
        <f t="shared" si="42"/>
        <v>61.375</v>
      </c>
      <c r="C494">
        <f t="shared" si="43"/>
        <v>61</v>
      </c>
      <c r="D494">
        <f t="shared" si="44"/>
        <v>62.25</v>
      </c>
      <c r="E494">
        <f t="shared" si="45"/>
        <v>62</v>
      </c>
      <c r="F494">
        <f t="shared" si="46"/>
        <v>7.919354838709677</v>
      </c>
      <c r="G494">
        <f>_xlfn.CEILING.MATH($F494)</f>
        <v>8</v>
      </c>
      <c r="H494">
        <f t="shared" si="47"/>
        <v>-1.0080645161290369</v>
      </c>
    </row>
    <row r="495" spans="1:8" x14ac:dyDescent="0.3">
      <c r="A495">
        <v>492</v>
      </c>
      <c r="B495">
        <f t="shared" si="42"/>
        <v>61.5</v>
      </c>
      <c r="C495">
        <f t="shared" si="43"/>
        <v>61</v>
      </c>
      <c r="D495">
        <f t="shared" si="44"/>
        <v>62.375</v>
      </c>
      <c r="E495">
        <f t="shared" si="45"/>
        <v>62</v>
      </c>
      <c r="F495">
        <f t="shared" si="46"/>
        <v>7.935483870967742</v>
      </c>
      <c r="G495">
        <f>_xlfn.CEILING.MATH($F495)</f>
        <v>8</v>
      </c>
      <c r="H495">
        <f t="shared" si="47"/>
        <v>-0.80645161290322509</v>
      </c>
    </row>
    <row r="496" spans="1:8" x14ac:dyDescent="0.3">
      <c r="A496">
        <v>493</v>
      </c>
      <c r="B496">
        <f t="shared" si="42"/>
        <v>61.625</v>
      </c>
      <c r="C496">
        <f t="shared" si="43"/>
        <v>61</v>
      </c>
      <c r="D496">
        <f t="shared" si="44"/>
        <v>62.5</v>
      </c>
      <c r="E496">
        <f t="shared" si="45"/>
        <v>62</v>
      </c>
      <c r="F496">
        <f t="shared" si="46"/>
        <v>7.9516129032258061</v>
      </c>
      <c r="G496">
        <f>_xlfn.CEILING.MATH($F496)</f>
        <v>8</v>
      </c>
      <c r="H496">
        <f t="shared" si="47"/>
        <v>-0.60483870967742437</v>
      </c>
    </row>
    <row r="497" spans="1:8" x14ac:dyDescent="0.3">
      <c r="A497">
        <v>494</v>
      </c>
      <c r="B497">
        <f t="shared" si="42"/>
        <v>61.75</v>
      </c>
      <c r="C497">
        <f t="shared" si="43"/>
        <v>61</v>
      </c>
      <c r="D497">
        <f t="shared" si="44"/>
        <v>62.625</v>
      </c>
      <c r="E497">
        <f t="shared" si="45"/>
        <v>62</v>
      </c>
      <c r="F497">
        <f t="shared" si="46"/>
        <v>7.967741935483871</v>
      </c>
      <c r="G497">
        <f>_xlfn.CEILING.MATH($F497)</f>
        <v>8</v>
      </c>
      <c r="H497">
        <f t="shared" si="47"/>
        <v>-0.40322580645161255</v>
      </c>
    </row>
    <row r="498" spans="1:8" x14ac:dyDescent="0.3">
      <c r="A498">
        <v>495</v>
      </c>
      <c r="B498">
        <f t="shared" si="42"/>
        <v>61.875</v>
      </c>
      <c r="C498">
        <f t="shared" si="43"/>
        <v>61</v>
      </c>
      <c r="D498">
        <f t="shared" si="44"/>
        <v>62.75</v>
      </c>
      <c r="E498">
        <f t="shared" si="45"/>
        <v>62</v>
      </c>
      <c r="F498">
        <f t="shared" si="46"/>
        <v>7.9838709677419351</v>
      </c>
      <c r="G498">
        <f>_xlfn.CEILING.MATH($F498)</f>
        <v>8</v>
      </c>
      <c r="H498">
        <f t="shared" si="47"/>
        <v>-0.20161290322581182</v>
      </c>
    </row>
    <row r="499" spans="1:8" x14ac:dyDescent="0.3">
      <c r="A499">
        <v>496</v>
      </c>
      <c r="B499">
        <f t="shared" si="42"/>
        <v>62</v>
      </c>
      <c r="C499">
        <f t="shared" si="43"/>
        <v>62</v>
      </c>
      <c r="D499">
        <f t="shared" si="44"/>
        <v>62.875</v>
      </c>
      <c r="E499">
        <f t="shared" si="45"/>
        <v>62</v>
      </c>
      <c r="F499">
        <f t="shared" si="46"/>
        <v>8</v>
      </c>
      <c r="G499">
        <f>_xlfn.CEILING.MATH($F499)</f>
        <v>8</v>
      </c>
      <c r="H499">
        <f t="shared" si="47"/>
        <v>0</v>
      </c>
    </row>
    <row r="500" spans="1:8" x14ac:dyDescent="0.3">
      <c r="A500">
        <v>497</v>
      </c>
      <c r="B500">
        <f t="shared" si="42"/>
        <v>62.125</v>
      </c>
      <c r="C500">
        <f t="shared" si="43"/>
        <v>62</v>
      </c>
      <c r="D500">
        <f t="shared" si="44"/>
        <v>63</v>
      </c>
      <c r="E500">
        <f t="shared" si="45"/>
        <v>63</v>
      </c>
      <c r="F500">
        <f t="shared" si="46"/>
        <v>7.8888888888888893</v>
      </c>
      <c r="G500">
        <f>_xlfn.CEILING.MATH($F500)</f>
        <v>8</v>
      </c>
      <c r="H500">
        <f t="shared" si="47"/>
        <v>-1.388888888888884</v>
      </c>
    </row>
    <row r="501" spans="1:8" x14ac:dyDescent="0.3">
      <c r="A501">
        <v>498</v>
      </c>
      <c r="B501">
        <f t="shared" si="42"/>
        <v>62.25</v>
      </c>
      <c r="C501">
        <f t="shared" si="43"/>
        <v>62</v>
      </c>
      <c r="D501">
        <f t="shared" si="44"/>
        <v>63.125</v>
      </c>
      <c r="E501">
        <f t="shared" si="45"/>
        <v>63</v>
      </c>
      <c r="F501">
        <f t="shared" si="46"/>
        <v>7.9047619047619051</v>
      </c>
      <c r="G501">
        <f>_xlfn.CEILING.MATH($F501)</f>
        <v>8</v>
      </c>
      <c r="H501">
        <f t="shared" si="47"/>
        <v>-1.1904761904761862</v>
      </c>
    </row>
    <row r="502" spans="1:8" x14ac:dyDescent="0.3">
      <c r="A502">
        <v>499</v>
      </c>
      <c r="B502">
        <f t="shared" si="42"/>
        <v>62.375</v>
      </c>
      <c r="C502">
        <f t="shared" si="43"/>
        <v>62</v>
      </c>
      <c r="D502">
        <f t="shared" si="44"/>
        <v>63.25</v>
      </c>
      <c r="E502">
        <f t="shared" si="45"/>
        <v>63</v>
      </c>
      <c r="F502">
        <f t="shared" si="46"/>
        <v>7.9206349206349209</v>
      </c>
      <c r="G502">
        <f>_xlfn.CEILING.MATH($F502)</f>
        <v>8</v>
      </c>
      <c r="H502">
        <f t="shared" si="47"/>
        <v>-0.99206349206348854</v>
      </c>
    </row>
    <row r="503" spans="1:8" x14ac:dyDescent="0.3">
      <c r="A503">
        <v>500</v>
      </c>
      <c r="B503">
        <f t="shared" si="42"/>
        <v>62.5</v>
      </c>
      <c r="C503">
        <f t="shared" si="43"/>
        <v>62</v>
      </c>
      <c r="D503">
        <f t="shared" si="44"/>
        <v>63.375</v>
      </c>
      <c r="E503">
        <f t="shared" si="45"/>
        <v>63</v>
      </c>
      <c r="F503">
        <f t="shared" si="46"/>
        <v>7.9365079365079367</v>
      </c>
      <c r="G503">
        <f>_xlfn.CEILING.MATH($F503)</f>
        <v>8</v>
      </c>
      <c r="H503">
        <f t="shared" si="47"/>
        <v>-0.79365079365079083</v>
      </c>
    </row>
    <row r="504" spans="1:8" x14ac:dyDescent="0.3">
      <c r="A504">
        <v>501</v>
      </c>
      <c r="B504">
        <f t="shared" si="42"/>
        <v>62.625</v>
      </c>
      <c r="C504">
        <f t="shared" si="43"/>
        <v>62</v>
      </c>
      <c r="D504">
        <f t="shared" si="44"/>
        <v>63.5</v>
      </c>
      <c r="E504">
        <f t="shared" si="45"/>
        <v>63</v>
      </c>
      <c r="F504">
        <f t="shared" si="46"/>
        <v>7.9523809523809526</v>
      </c>
      <c r="G504">
        <f>_xlfn.CEILING.MATH($F504)</f>
        <v>8</v>
      </c>
      <c r="H504">
        <f t="shared" si="47"/>
        <v>-0.59523809523809312</v>
      </c>
    </row>
    <row r="505" spans="1:8" x14ac:dyDescent="0.3">
      <c r="A505">
        <v>502</v>
      </c>
      <c r="B505">
        <f t="shared" si="42"/>
        <v>62.75</v>
      </c>
      <c r="C505">
        <f t="shared" si="43"/>
        <v>62</v>
      </c>
      <c r="D505">
        <f t="shared" si="44"/>
        <v>63.625</v>
      </c>
      <c r="E505">
        <f t="shared" si="45"/>
        <v>63</v>
      </c>
      <c r="F505">
        <f t="shared" si="46"/>
        <v>7.9682539682539684</v>
      </c>
      <c r="G505">
        <f>_xlfn.CEILING.MATH($F505)</f>
        <v>8</v>
      </c>
      <c r="H505">
        <f t="shared" si="47"/>
        <v>-0.39682539682539542</v>
      </c>
    </row>
    <row r="506" spans="1:8" x14ac:dyDescent="0.3">
      <c r="A506">
        <v>503</v>
      </c>
      <c r="B506">
        <f t="shared" si="42"/>
        <v>62.875</v>
      </c>
      <c r="C506">
        <f t="shared" si="43"/>
        <v>62</v>
      </c>
      <c r="D506">
        <f t="shared" si="44"/>
        <v>63.75</v>
      </c>
      <c r="E506">
        <f t="shared" si="45"/>
        <v>63</v>
      </c>
      <c r="F506">
        <f t="shared" si="46"/>
        <v>7.9841269841269842</v>
      </c>
      <c r="G506">
        <f>_xlfn.CEILING.MATH($F506)</f>
        <v>8</v>
      </c>
      <c r="H506">
        <f t="shared" si="47"/>
        <v>-0.19841269841269771</v>
      </c>
    </row>
    <row r="507" spans="1:8" x14ac:dyDescent="0.3">
      <c r="A507">
        <v>504</v>
      </c>
      <c r="B507">
        <f t="shared" si="42"/>
        <v>63</v>
      </c>
      <c r="C507">
        <f t="shared" si="43"/>
        <v>63</v>
      </c>
      <c r="D507">
        <f t="shared" si="44"/>
        <v>63.875</v>
      </c>
      <c r="E507">
        <f t="shared" si="45"/>
        <v>63</v>
      </c>
      <c r="F507">
        <f t="shared" si="46"/>
        <v>8</v>
      </c>
      <c r="G507">
        <f>_xlfn.CEILING.MATH($F507)</f>
        <v>8</v>
      </c>
      <c r="H507">
        <f t="shared" si="47"/>
        <v>0</v>
      </c>
    </row>
    <row r="508" spans="1:8" x14ac:dyDescent="0.3">
      <c r="A508">
        <v>505</v>
      </c>
      <c r="B508">
        <f t="shared" si="42"/>
        <v>63.125</v>
      </c>
      <c r="C508">
        <f t="shared" si="43"/>
        <v>63</v>
      </c>
      <c r="D508">
        <f t="shared" si="44"/>
        <v>64</v>
      </c>
      <c r="E508">
        <f t="shared" si="45"/>
        <v>64</v>
      </c>
      <c r="F508">
        <f t="shared" si="46"/>
        <v>7.890625</v>
      </c>
      <c r="G508">
        <f>_xlfn.CEILING.MATH($F508)</f>
        <v>8</v>
      </c>
      <c r="H508">
        <f t="shared" si="47"/>
        <v>-1.3671875</v>
      </c>
    </row>
    <row r="509" spans="1:8" x14ac:dyDescent="0.3">
      <c r="A509">
        <v>506</v>
      </c>
      <c r="B509">
        <f t="shared" si="42"/>
        <v>63.25</v>
      </c>
      <c r="C509">
        <f t="shared" si="43"/>
        <v>63</v>
      </c>
      <c r="D509">
        <f t="shared" si="44"/>
        <v>64.125</v>
      </c>
      <c r="E509">
        <f t="shared" si="45"/>
        <v>64</v>
      </c>
      <c r="F509">
        <f t="shared" si="46"/>
        <v>7.90625</v>
      </c>
      <c r="G509">
        <f>_xlfn.CEILING.MATH($F509)</f>
        <v>8</v>
      </c>
      <c r="H509">
        <f t="shared" si="47"/>
        <v>-1.171875</v>
      </c>
    </row>
    <row r="510" spans="1:8" x14ac:dyDescent="0.3">
      <c r="A510">
        <v>507</v>
      </c>
      <c r="B510">
        <f t="shared" si="42"/>
        <v>63.375</v>
      </c>
      <c r="C510">
        <f t="shared" si="43"/>
        <v>63</v>
      </c>
      <c r="D510">
        <f t="shared" si="44"/>
        <v>64.25</v>
      </c>
      <c r="E510">
        <f t="shared" si="45"/>
        <v>64</v>
      </c>
      <c r="F510">
        <f t="shared" si="46"/>
        <v>7.921875</v>
      </c>
      <c r="G510">
        <f>_xlfn.CEILING.MATH($F510)</f>
        <v>8</v>
      </c>
      <c r="H510">
        <f t="shared" si="47"/>
        <v>-0.9765625</v>
      </c>
    </row>
    <row r="511" spans="1:8" x14ac:dyDescent="0.3">
      <c r="A511">
        <v>508</v>
      </c>
      <c r="B511">
        <f t="shared" si="42"/>
        <v>63.5</v>
      </c>
      <c r="C511">
        <f t="shared" si="43"/>
        <v>63</v>
      </c>
      <c r="D511">
        <f t="shared" si="44"/>
        <v>64.375</v>
      </c>
      <c r="E511">
        <f t="shared" si="45"/>
        <v>64</v>
      </c>
      <c r="F511">
        <f t="shared" si="46"/>
        <v>7.9375</v>
      </c>
      <c r="G511">
        <f>_xlfn.CEILING.MATH($F511)</f>
        <v>8</v>
      </c>
      <c r="H511">
        <f t="shared" si="47"/>
        <v>-0.78125</v>
      </c>
    </row>
    <row r="512" spans="1:8" x14ac:dyDescent="0.3">
      <c r="A512">
        <v>509</v>
      </c>
      <c r="B512">
        <f t="shared" si="42"/>
        <v>63.625</v>
      </c>
      <c r="C512">
        <f t="shared" si="43"/>
        <v>63</v>
      </c>
      <c r="D512">
        <f t="shared" si="44"/>
        <v>64.5</v>
      </c>
      <c r="E512">
        <f t="shared" si="45"/>
        <v>64</v>
      </c>
      <c r="F512">
        <f t="shared" si="46"/>
        <v>7.953125</v>
      </c>
      <c r="G512">
        <f>_xlfn.CEILING.MATH($F512)</f>
        <v>8</v>
      </c>
      <c r="H512">
        <f t="shared" si="47"/>
        <v>-0.5859375</v>
      </c>
    </row>
    <row r="513" spans="1:8" x14ac:dyDescent="0.3">
      <c r="A513">
        <v>510</v>
      </c>
      <c r="B513">
        <f t="shared" si="42"/>
        <v>63.75</v>
      </c>
      <c r="C513">
        <f t="shared" si="43"/>
        <v>63</v>
      </c>
      <c r="D513">
        <f t="shared" si="44"/>
        <v>64.625</v>
      </c>
      <c r="E513">
        <f t="shared" si="45"/>
        <v>64</v>
      </c>
      <c r="F513">
        <f t="shared" si="46"/>
        <v>7.96875</v>
      </c>
      <c r="G513">
        <f>_xlfn.CEILING.MATH($F513)</f>
        <v>8</v>
      </c>
      <c r="H513">
        <f t="shared" si="47"/>
        <v>-0.390625</v>
      </c>
    </row>
    <row r="514" spans="1:8" x14ac:dyDescent="0.3">
      <c r="A514">
        <v>511</v>
      </c>
      <c r="B514">
        <f t="shared" si="42"/>
        <v>63.875</v>
      </c>
      <c r="C514">
        <f t="shared" si="43"/>
        <v>63</v>
      </c>
      <c r="D514">
        <f t="shared" si="44"/>
        <v>64.75</v>
      </c>
      <c r="E514">
        <f t="shared" si="45"/>
        <v>64</v>
      </c>
      <c r="F514">
        <f t="shared" si="46"/>
        <v>7.984375</v>
      </c>
      <c r="G514">
        <f>_xlfn.CEILING.MATH($F514)</f>
        <v>8</v>
      </c>
      <c r="H514">
        <f t="shared" si="47"/>
        <v>-0.1953125</v>
      </c>
    </row>
    <row r="515" spans="1:8" x14ac:dyDescent="0.3">
      <c r="A515">
        <v>512</v>
      </c>
      <c r="B515">
        <f t="shared" si="42"/>
        <v>64</v>
      </c>
      <c r="C515">
        <f t="shared" si="43"/>
        <v>64</v>
      </c>
      <c r="D515">
        <f t="shared" si="44"/>
        <v>64.875</v>
      </c>
      <c r="E515">
        <f t="shared" si="45"/>
        <v>64</v>
      </c>
      <c r="F515">
        <f t="shared" si="46"/>
        <v>8</v>
      </c>
      <c r="G515">
        <f>_xlfn.CEILING.MATH($F515)</f>
        <v>8</v>
      </c>
      <c r="H515">
        <f t="shared" si="47"/>
        <v>0</v>
      </c>
    </row>
    <row r="516" spans="1:8" x14ac:dyDescent="0.3">
      <c r="A516">
        <v>513</v>
      </c>
      <c r="B516">
        <f t="shared" si="42"/>
        <v>64.125</v>
      </c>
      <c r="C516">
        <f t="shared" si="43"/>
        <v>64</v>
      </c>
      <c r="D516">
        <f t="shared" si="44"/>
        <v>65</v>
      </c>
      <c r="E516">
        <f t="shared" si="45"/>
        <v>65</v>
      </c>
      <c r="F516">
        <f t="shared" si="46"/>
        <v>7.8923076923076927</v>
      </c>
      <c r="G516">
        <f>_xlfn.CEILING.MATH($F516)</f>
        <v>8</v>
      </c>
      <c r="H516">
        <f t="shared" si="47"/>
        <v>-1.3461538461538414</v>
      </c>
    </row>
    <row r="517" spans="1:8" x14ac:dyDescent="0.3">
      <c r="A517">
        <v>514</v>
      </c>
      <c r="B517">
        <f t="shared" si="42"/>
        <v>64.25</v>
      </c>
      <c r="C517">
        <f t="shared" si="43"/>
        <v>64</v>
      </c>
      <c r="D517">
        <f t="shared" si="44"/>
        <v>65.125</v>
      </c>
      <c r="E517">
        <f t="shared" si="45"/>
        <v>65</v>
      </c>
      <c r="F517">
        <f t="shared" si="46"/>
        <v>7.907692307692308</v>
      </c>
      <c r="G517">
        <f>_xlfn.CEILING.MATH($F517)</f>
        <v>8</v>
      </c>
      <c r="H517">
        <f t="shared" si="47"/>
        <v>-1.1538461538461497</v>
      </c>
    </row>
    <row r="518" spans="1:8" x14ac:dyDescent="0.3">
      <c r="A518">
        <v>515</v>
      </c>
      <c r="B518">
        <f t="shared" ref="B518:B581" si="48">$A518/8</f>
        <v>64.375</v>
      </c>
      <c r="C518">
        <f t="shared" ref="C518:C581" si="49">_xlfn.FLOOR.MATH($B518)</f>
        <v>64</v>
      </c>
      <c r="D518">
        <f t="shared" ref="D518:D581" si="50">($A518+7)/8</f>
        <v>65.25</v>
      </c>
      <c r="E518">
        <f t="shared" ref="E518:E581" si="51">_xlfn.FLOOR.MATH($D518)</f>
        <v>65</v>
      </c>
      <c r="F518">
        <f t="shared" ref="F518:F581" si="52">$A518/$E518</f>
        <v>7.9230769230769234</v>
      </c>
      <c r="G518">
        <f>_xlfn.CEILING.MATH($F518)</f>
        <v>8</v>
      </c>
      <c r="H518">
        <f t="shared" ref="H518:H581" si="53">($F518/8-1)*100</f>
        <v>-0.96153846153845812</v>
      </c>
    </row>
    <row r="519" spans="1:8" x14ac:dyDescent="0.3">
      <c r="A519">
        <v>516</v>
      </c>
      <c r="B519">
        <f t="shared" si="48"/>
        <v>64.5</v>
      </c>
      <c r="C519">
        <f t="shared" si="49"/>
        <v>64</v>
      </c>
      <c r="D519">
        <f t="shared" si="50"/>
        <v>65.375</v>
      </c>
      <c r="E519">
        <f t="shared" si="51"/>
        <v>65</v>
      </c>
      <c r="F519">
        <f t="shared" si="52"/>
        <v>7.9384615384615387</v>
      </c>
      <c r="G519">
        <f>_xlfn.CEILING.MATH($F519)</f>
        <v>8</v>
      </c>
      <c r="H519">
        <f t="shared" si="53"/>
        <v>-0.7692307692307665</v>
      </c>
    </row>
    <row r="520" spans="1:8" x14ac:dyDescent="0.3">
      <c r="A520">
        <v>517</v>
      </c>
      <c r="B520">
        <f t="shared" si="48"/>
        <v>64.625</v>
      </c>
      <c r="C520">
        <f t="shared" si="49"/>
        <v>64</v>
      </c>
      <c r="D520">
        <f t="shared" si="50"/>
        <v>65.5</v>
      </c>
      <c r="E520">
        <f t="shared" si="51"/>
        <v>65</v>
      </c>
      <c r="F520">
        <f t="shared" si="52"/>
        <v>7.953846153846154</v>
      </c>
      <c r="G520">
        <f>_xlfn.CEILING.MATH($F520)</f>
        <v>8</v>
      </c>
      <c r="H520">
        <f t="shared" si="53"/>
        <v>-0.57692307692307487</v>
      </c>
    </row>
    <row r="521" spans="1:8" x14ac:dyDescent="0.3">
      <c r="A521">
        <v>518</v>
      </c>
      <c r="B521">
        <f t="shared" si="48"/>
        <v>64.75</v>
      </c>
      <c r="C521">
        <f t="shared" si="49"/>
        <v>64</v>
      </c>
      <c r="D521">
        <f t="shared" si="50"/>
        <v>65.625</v>
      </c>
      <c r="E521">
        <f t="shared" si="51"/>
        <v>65</v>
      </c>
      <c r="F521">
        <f t="shared" si="52"/>
        <v>7.9692307692307693</v>
      </c>
      <c r="G521">
        <f>_xlfn.CEILING.MATH($F521)</f>
        <v>8</v>
      </c>
      <c r="H521">
        <f t="shared" si="53"/>
        <v>-0.38461538461538325</v>
      </c>
    </row>
    <row r="522" spans="1:8" x14ac:dyDescent="0.3">
      <c r="A522">
        <v>519</v>
      </c>
      <c r="B522">
        <f t="shared" si="48"/>
        <v>64.875</v>
      </c>
      <c r="C522">
        <f t="shared" si="49"/>
        <v>64</v>
      </c>
      <c r="D522">
        <f t="shared" si="50"/>
        <v>65.75</v>
      </c>
      <c r="E522">
        <f t="shared" si="51"/>
        <v>65</v>
      </c>
      <c r="F522">
        <f t="shared" si="52"/>
        <v>7.9846153846153847</v>
      </c>
      <c r="G522">
        <f>_xlfn.CEILING.MATH($F522)</f>
        <v>8</v>
      </c>
      <c r="H522">
        <f t="shared" si="53"/>
        <v>-0.19230769230769162</v>
      </c>
    </row>
    <row r="523" spans="1:8" x14ac:dyDescent="0.3">
      <c r="A523">
        <v>520</v>
      </c>
      <c r="B523">
        <f t="shared" si="48"/>
        <v>65</v>
      </c>
      <c r="C523">
        <f t="shared" si="49"/>
        <v>65</v>
      </c>
      <c r="D523">
        <f t="shared" si="50"/>
        <v>65.875</v>
      </c>
      <c r="E523">
        <f t="shared" si="51"/>
        <v>65</v>
      </c>
      <c r="F523">
        <f t="shared" si="52"/>
        <v>8</v>
      </c>
      <c r="G523">
        <f>_xlfn.CEILING.MATH($F523)</f>
        <v>8</v>
      </c>
      <c r="H523">
        <f t="shared" si="53"/>
        <v>0</v>
      </c>
    </row>
    <row r="524" spans="1:8" x14ac:dyDescent="0.3">
      <c r="A524">
        <v>521</v>
      </c>
      <c r="B524">
        <f t="shared" si="48"/>
        <v>65.125</v>
      </c>
      <c r="C524">
        <f t="shared" si="49"/>
        <v>65</v>
      </c>
      <c r="D524">
        <f t="shared" si="50"/>
        <v>66</v>
      </c>
      <c r="E524">
        <f t="shared" si="51"/>
        <v>66</v>
      </c>
      <c r="F524">
        <f t="shared" si="52"/>
        <v>7.8939393939393936</v>
      </c>
      <c r="G524">
        <f>_xlfn.CEILING.MATH($F524)</f>
        <v>8</v>
      </c>
      <c r="H524">
        <f t="shared" si="53"/>
        <v>-1.3257575757575801</v>
      </c>
    </row>
    <row r="525" spans="1:8" x14ac:dyDescent="0.3">
      <c r="A525">
        <v>522</v>
      </c>
      <c r="B525">
        <f t="shared" si="48"/>
        <v>65.25</v>
      </c>
      <c r="C525">
        <f t="shared" si="49"/>
        <v>65</v>
      </c>
      <c r="D525">
        <f t="shared" si="50"/>
        <v>66.125</v>
      </c>
      <c r="E525">
        <f t="shared" si="51"/>
        <v>66</v>
      </c>
      <c r="F525">
        <f t="shared" si="52"/>
        <v>7.9090909090909092</v>
      </c>
      <c r="G525">
        <f>_xlfn.CEILING.MATH($F525)</f>
        <v>8</v>
      </c>
      <c r="H525">
        <f t="shared" si="53"/>
        <v>-1.1363636363636354</v>
      </c>
    </row>
    <row r="526" spans="1:8" x14ac:dyDescent="0.3">
      <c r="A526">
        <v>523</v>
      </c>
      <c r="B526">
        <f t="shared" si="48"/>
        <v>65.375</v>
      </c>
      <c r="C526">
        <f t="shared" si="49"/>
        <v>65</v>
      </c>
      <c r="D526">
        <f t="shared" si="50"/>
        <v>66.25</v>
      </c>
      <c r="E526">
        <f t="shared" si="51"/>
        <v>66</v>
      </c>
      <c r="F526">
        <f t="shared" si="52"/>
        <v>7.9242424242424239</v>
      </c>
      <c r="G526">
        <f>_xlfn.CEILING.MATH($F526)</f>
        <v>8</v>
      </c>
      <c r="H526">
        <f t="shared" si="53"/>
        <v>-0.94696969696970168</v>
      </c>
    </row>
    <row r="527" spans="1:8" x14ac:dyDescent="0.3">
      <c r="A527">
        <v>524</v>
      </c>
      <c r="B527">
        <f t="shared" si="48"/>
        <v>65.5</v>
      </c>
      <c r="C527">
        <f t="shared" si="49"/>
        <v>65</v>
      </c>
      <c r="D527">
        <f t="shared" si="50"/>
        <v>66.375</v>
      </c>
      <c r="E527">
        <f t="shared" si="51"/>
        <v>66</v>
      </c>
      <c r="F527">
        <f t="shared" si="52"/>
        <v>7.9393939393939394</v>
      </c>
      <c r="G527">
        <f>_xlfn.CEILING.MATH($F527)</f>
        <v>8</v>
      </c>
      <c r="H527">
        <f t="shared" si="53"/>
        <v>-0.7575757575757569</v>
      </c>
    </row>
    <row r="528" spans="1:8" x14ac:dyDescent="0.3">
      <c r="A528">
        <v>525</v>
      </c>
      <c r="B528">
        <f t="shared" si="48"/>
        <v>65.625</v>
      </c>
      <c r="C528">
        <f t="shared" si="49"/>
        <v>65</v>
      </c>
      <c r="D528">
        <f t="shared" si="50"/>
        <v>66.5</v>
      </c>
      <c r="E528">
        <f t="shared" si="51"/>
        <v>66</v>
      </c>
      <c r="F528">
        <f t="shared" si="52"/>
        <v>7.9545454545454541</v>
      </c>
      <c r="G528">
        <f>_xlfn.CEILING.MATH($F528)</f>
        <v>8</v>
      </c>
      <c r="H528">
        <f t="shared" si="53"/>
        <v>-0.56818181818182323</v>
      </c>
    </row>
    <row r="529" spans="1:8" x14ac:dyDescent="0.3">
      <c r="A529">
        <v>526</v>
      </c>
      <c r="B529">
        <f t="shared" si="48"/>
        <v>65.75</v>
      </c>
      <c r="C529">
        <f t="shared" si="49"/>
        <v>65</v>
      </c>
      <c r="D529">
        <f t="shared" si="50"/>
        <v>66.625</v>
      </c>
      <c r="E529">
        <f t="shared" si="51"/>
        <v>66</v>
      </c>
      <c r="F529">
        <f t="shared" si="52"/>
        <v>7.9696969696969697</v>
      </c>
      <c r="G529">
        <f>_xlfn.CEILING.MATH($F529)</f>
        <v>8</v>
      </c>
      <c r="H529">
        <f t="shared" si="53"/>
        <v>-0.37878787878787845</v>
      </c>
    </row>
    <row r="530" spans="1:8" x14ac:dyDescent="0.3">
      <c r="A530">
        <v>527</v>
      </c>
      <c r="B530">
        <f t="shared" si="48"/>
        <v>65.875</v>
      </c>
      <c r="C530">
        <f t="shared" si="49"/>
        <v>65</v>
      </c>
      <c r="D530">
        <f t="shared" si="50"/>
        <v>66.75</v>
      </c>
      <c r="E530">
        <f t="shared" si="51"/>
        <v>66</v>
      </c>
      <c r="F530">
        <f t="shared" si="52"/>
        <v>7.9848484848484844</v>
      </c>
      <c r="G530">
        <f>_xlfn.CEILING.MATH($F530)</f>
        <v>8</v>
      </c>
      <c r="H530">
        <f t="shared" si="53"/>
        <v>-0.18939393939394478</v>
      </c>
    </row>
    <row r="531" spans="1:8" x14ac:dyDescent="0.3">
      <c r="A531">
        <v>528</v>
      </c>
      <c r="B531">
        <f t="shared" si="48"/>
        <v>66</v>
      </c>
      <c r="C531">
        <f t="shared" si="49"/>
        <v>66</v>
      </c>
      <c r="D531">
        <f t="shared" si="50"/>
        <v>66.875</v>
      </c>
      <c r="E531">
        <f t="shared" si="51"/>
        <v>66</v>
      </c>
      <c r="F531">
        <f t="shared" si="52"/>
        <v>8</v>
      </c>
      <c r="G531">
        <f>_xlfn.CEILING.MATH($F531)</f>
        <v>8</v>
      </c>
      <c r="H531">
        <f t="shared" si="53"/>
        <v>0</v>
      </c>
    </row>
    <row r="532" spans="1:8" x14ac:dyDescent="0.3">
      <c r="A532">
        <v>529</v>
      </c>
      <c r="B532">
        <f t="shared" si="48"/>
        <v>66.125</v>
      </c>
      <c r="C532">
        <f t="shared" si="49"/>
        <v>66</v>
      </c>
      <c r="D532">
        <f t="shared" si="50"/>
        <v>67</v>
      </c>
      <c r="E532">
        <f t="shared" si="51"/>
        <v>67</v>
      </c>
      <c r="F532">
        <f t="shared" si="52"/>
        <v>7.8955223880597014</v>
      </c>
      <c r="G532">
        <f>_xlfn.CEILING.MATH($F532)</f>
        <v>8</v>
      </c>
      <c r="H532">
        <f t="shared" si="53"/>
        <v>-1.3059701492537323</v>
      </c>
    </row>
    <row r="533" spans="1:8" x14ac:dyDescent="0.3">
      <c r="A533">
        <v>530</v>
      </c>
      <c r="B533">
        <f t="shared" si="48"/>
        <v>66.25</v>
      </c>
      <c r="C533">
        <f t="shared" si="49"/>
        <v>66</v>
      </c>
      <c r="D533">
        <f t="shared" si="50"/>
        <v>67.125</v>
      </c>
      <c r="E533">
        <f t="shared" si="51"/>
        <v>67</v>
      </c>
      <c r="F533">
        <f t="shared" si="52"/>
        <v>7.91044776119403</v>
      </c>
      <c r="G533">
        <f>_xlfn.CEILING.MATH($F533)</f>
        <v>8</v>
      </c>
      <c r="H533">
        <f t="shared" si="53"/>
        <v>-1.1194029850746245</v>
      </c>
    </row>
    <row r="534" spans="1:8" x14ac:dyDescent="0.3">
      <c r="A534">
        <v>531</v>
      </c>
      <c r="B534">
        <f t="shared" si="48"/>
        <v>66.375</v>
      </c>
      <c r="C534">
        <f t="shared" si="49"/>
        <v>66</v>
      </c>
      <c r="D534">
        <f t="shared" si="50"/>
        <v>67.25</v>
      </c>
      <c r="E534">
        <f t="shared" si="51"/>
        <v>67</v>
      </c>
      <c r="F534">
        <f t="shared" si="52"/>
        <v>7.9253731343283578</v>
      </c>
      <c r="G534">
        <f>_xlfn.CEILING.MATH($F534)</f>
        <v>8</v>
      </c>
      <c r="H534">
        <f t="shared" si="53"/>
        <v>-0.93283582089552786</v>
      </c>
    </row>
    <row r="535" spans="1:8" x14ac:dyDescent="0.3">
      <c r="A535">
        <v>532</v>
      </c>
      <c r="B535">
        <f t="shared" si="48"/>
        <v>66.5</v>
      </c>
      <c r="C535">
        <f t="shared" si="49"/>
        <v>66</v>
      </c>
      <c r="D535">
        <f t="shared" si="50"/>
        <v>67.375</v>
      </c>
      <c r="E535">
        <f t="shared" si="51"/>
        <v>67</v>
      </c>
      <c r="F535">
        <f t="shared" si="52"/>
        <v>7.9402985074626864</v>
      </c>
      <c r="G535">
        <f>_xlfn.CEILING.MATH($F535)</f>
        <v>8</v>
      </c>
      <c r="H535">
        <f t="shared" si="53"/>
        <v>-0.74626865671642006</v>
      </c>
    </row>
    <row r="536" spans="1:8" x14ac:dyDescent="0.3">
      <c r="A536">
        <v>533</v>
      </c>
      <c r="B536">
        <f t="shared" si="48"/>
        <v>66.625</v>
      </c>
      <c r="C536">
        <f t="shared" si="49"/>
        <v>66</v>
      </c>
      <c r="D536">
        <f t="shared" si="50"/>
        <v>67.5</v>
      </c>
      <c r="E536">
        <f t="shared" si="51"/>
        <v>67</v>
      </c>
      <c r="F536">
        <f t="shared" si="52"/>
        <v>7.955223880597015</v>
      </c>
      <c r="G536">
        <f>_xlfn.CEILING.MATH($F536)</f>
        <v>8</v>
      </c>
      <c r="H536">
        <f t="shared" si="53"/>
        <v>-0.55970149253731227</v>
      </c>
    </row>
    <row r="537" spans="1:8" x14ac:dyDescent="0.3">
      <c r="A537">
        <v>534</v>
      </c>
      <c r="B537">
        <f t="shared" si="48"/>
        <v>66.75</v>
      </c>
      <c r="C537">
        <f t="shared" si="49"/>
        <v>66</v>
      </c>
      <c r="D537">
        <f t="shared" si="50"/>
        <v>67.625</v>
      </c>
      <c r="E537">
        <f t="shared" si="51"/>
        <v>67</v>
      </c>
      <c r="F537">
        <f t="shared" si="52"/>
        <v>7.9701492537313436</v>
      </c>
      <c r="G537">
        <f>_xlfn.CEILING.MATH($F537)</f>
        <v>8</v>
      </c>
      <c r="H537">
        <f t="shared" si="53"/>
        <v>-0.37313432835820448</v>
      </c>
    </row>
    <row r="538" spans="1:8" x14ac:dyDescent="0.3">
      <c r="A538">
        <v>535</v>
      </c>
      <c r="B538">
        <f t="shared" si="48"/>
        <v>66.875</v>
      </c>
      <c r="C538">
        <f t="shared" si="49"/>
        <v>66</v>
      </c>
      <c r="D538">
        <f t="shared" si="50"/>
        <v>67.75</v>
      </c>
      <c r="E538">
        <f t="shared" si="51"/>
        <v>67</v>
      </c>
      <c r="F538">
        <f t="shared" si="52"/>
        <v>7.9850746268656714</v>
      </c>
      <c r="G538">
        <f>_xlfn.CEILING.MATH($F538)</f>
        <v>8</v>
      </c>
      <c r="H538">
        <f t="shared" si="53"/>
        <v>-0.18656716417910779</v>
      </c>
    </row>
    <row r="539" spans="1:8" x14ac:dyDescent="0.3">
      <c r="A539">
        <v>536</v>
      </c>
      <c r="B539">
        <f t="shared" si="48"/>
        <v>67</v>
      </c>
      <c r="C539">
        <f t="shared" si="49"/>
        <v>67</v>
      </c>
      <c r="D539">
        <f t="shared" si="50"/>
        <v>67.875</v>
      </c>
      <c r="E539">
        <f t="shared" si="51"/>
        <v>67</v>
      </c>
      <c r="F539">
        <f t="shared" si="52"/>
        <v>8</v>
      </c>
      <c r="G539">
        <f>_xlfn.CEILING.MATH($F539)</f>
        <v>8</v>
      </c>
      <c r="H539">
        <f t="shared" si="53"/>
        <v>0</v>
      </c>
    </row>
    <row r="540" spans="1:8" x14ac:dyDescent="0.3">
      <c r="A540">
        <v>537</v>
      </c>
      <c r="B540">
        <f t="shared" si="48"/>
        <v>67.125</v>
      </c>
      <c r="C540">
        <f t="shared" si="49"/>
        <v>67</v>
      </c>
      <c r="D540">
        <f t="shared" si="50"/>
        <v>68</v>
      </c>
      <c r="E540">
        <f t="shared" si="51"/>
        <v>68</v>
      </c>
      <c r="F540">
        <f t="shared" si="52"/>
        <v>7.8970588235294121</v>
      </c>
      <c r="G540">
        <f>_xlfn.CEILING.MATH($F540)</f>
        <v>8</v>
      </c>
      <c r="H540">
        <f t="shared" si="53"/>
        <v>-1.2867647058823484</v>
      </c>
    </row>
    <row r="541" spans="1:8" x14ac:dyDescent="0.3">
      <c r="A541">
        <v>538</v>
      </c>
      <c r="B541">
        <f t="shared" si="48"/>
        <v>67.25</v>
      </c>
      <c r="C541">
        <f t="shared" si="49"/>
        <v>67</v>
      </c>
      <c r="D541">
        <f t="shared" si="50"/>
        <v>68.125</v>
      </c>
      <c r="E541">
        <f t="shared" si="51"/>
        <v>68</v>
      </c>
      <c r="F541">
        <f t="shared" si="52"/>
        <v>7.9117647058823533</v>
      </c>
      <c r="G541">
        <f>_xlfn.CEILING.MATH($F541)</f>
        <v>8</v>
      </c>
      <c r="H541">
        <f t="shared" si="53"/>
        <v>-1.1029411764705843</v>
      </c>
    </row>
    <row r="542" spans="1:8" x14ac:dyDescent="0.3">
      <c r="A542">
        <v>539</v>
      </c>
      <c r="B542">
        <f t="shared" si="48"/>
        <v>67.375</v>
      </c>
      <c r="C542">
        <f t="shared" si="49"/>
        <v>67</v>
      </c>
      <c r="D542">
        <f t="shared" si="50"/>
        <v>68.25</v>
      </c>
      <c r="E542">
        <f t="shared" si="51"/>
        <v>68</v>
      </c>
      <c r="F542">
        <f t="shared" si="52"/>
        <v>7.9264705882352944</v>
      </c>
      <c r="G542">
        <f>_xlfn.CEILING.MATH($F542)</f>
        <v>8</v>
      </c>
      <c r="H542">
        <f t="shared" si="53"/>
        <v>-0.91911764705882026</v>
      </c>
    </row>
    <row r="543" spans="1:8" x14ac:dyDescent="0.3">
      <c r="A543">
        <v>540</v>
      </c>
      <c r="B543">
        <f t="shared" si="48"/>
        <v>67.5</v>
      </c>
      <c r="C543">
        <f t="shared" si="49"/>
        <v>67</v>
      </c>
      <c r="D543">
        <f t="shared" si="50"/>
        <v>68.375</v>
      </c>
      <c r="E543">
        <f t="shared" si="51"/>
        <v>68</v>
      </c>
      <c r="F543">
        <f t="shared" si="52"/>
        <v>7.9411764705882355</v>
      </c>
      <c r="G543">
        <f>_xlfn.CEILING.MATH($F543)</f>
        <v>8</v>
      </c>
      <c r="H543">
        <f t="shared" si="53"/>
        <v>-0.73529411764705621</v>
      </c>
    </row>
    <row r="544" spans="1:8" x14ac:dyDescent="0.3">
      <c r="A544">
        <v>541</v>
      </c>
      <c r="B544">
        <f t="shared" si="48"/>
        <v>67.625</v>
      </c>
      <c r="C544">
        <f t="shared" si="49"/>
        <v>67</v>
      </c>
      <c r="D544">
        <f t="shared" si="50"/>
        <v>68.5</v>
      </c>
      <c r="E544">
        <f t="shared" si="51"/>
        <v>68</v>
      </c>
      <c r="F544">
        <f t="shared" si="52"/>
        <v>7.9558823529411766</v>
      </c>
      <c r="G544">
        <f>_xlfn.CEILING.MATH($F544)</f>
        <v>8</v>
      </c>
      <c r="H544">
        <f t="shared" si="53"/>
        <v>-0.55147058823529216</v>
      </c>
    </row>
    <row r="545" spans="1:8" x14ac:dyDescent="0.3">
      <c r="A545">
        <v>542</v>
      </c>
      <c r="B545">
        <f t="shared" si="48"/>
        <v>67.75</v>
      </c>
      <c r="C545">
        <f t="shared" si="49"/>
        <v>67</v>
      </c>
      <c r="D545">
        <f t="shared" si="50"/>
        <v>68.625</v>
      </c>
      <c r="E545">
        <f t="shared" si="51"/>
        <v>68</v>
      </c>
      <c r="F545">
        <f t="shared" si="52"/>
        <v>7.9705882352941178</v>
      </c>
      <c r="G545">
        <f>_xlfn.CEILING.MATH($F545)</f>
        <v>8</v>
      </c>
      <c r="H545">
        <f t="shared" si="53"/>
        <v>-0.36764705882352811</v>
      </c>
    </row>
    <row r="546" spans="1:8" x14ac:dyDescent="0.3">
      <c r="A546">
        <v>543</v>
      </c>
      <c r="B546">
        <f t="shared" si="48"/>
        <v>67.875</v>
      </c>
      <c r="C546">
        <f t="shared" si="49"/>
        <v>67</v>
      </c>
      <c r="D546">
        <f t="shared" si="50"/>
        <v>68.75</v>
      </c>
      <c r="E546">
        <f t="shared" si="51"/>
        <v>68</v>
      </c>
      <c r="F546">
        <f t="shared" si="52"/>
        <v>7.9852941176470589</v>
      </c>
      <c r="G546">
        <f>_xlfn.CEILING.MATH($F546)</f>
        <v>8</v>
      </c>
      <c r="H546">
        <f t="shared" si="53"/>
        <v>-0.18382352941176405</v>
      </c>
    </row>
    <row r="547" spans="1:8" x14ac:dyDescent="0.3">
      <c r="A547">
        <v>544</v>
      </c>
      <c r="B547">
        <f t="shared" si="48"/>
        <v>68</v>
      </c>
      <c r="C547">
        <f t="shared" si="49"/>
        <v>68</v>
      </c>
      <c r="D547">
        <f t="shared" si="50"/>
        <v>68.875</v>
      </c>
      <c r="E547">
        <f t="shared" si="51"/>
        <v>68</v>
      </c>
      <c r="F547">
        <f t="shared" si="52"/>
        <v>8</v>
      </c>
      <c r="G547">
        <f>_xlfn.CEILING.MATH($F547)</f>
        <v>8</v>
      </c>
      <c r="H547">
        <f t="shared" si="53"/>
        <v>0</v>
      </c>
    </row>
    <row r="548" spans="1:8" x14ac:dyDescent="0.3">
      <c r="A548">
        <v>545</v>
      </c>
      <c r="B548">
        <f t="shared" si="48"/>
        <v>68.125</v>
      </c>
      <c r="C548">
        <f t="shared" si="49"/>
        <v>68</v>
      </c>
      <c r="D548">
        <f t="shared" si="50"/>
        <v>69</v>
      </c>
      <c r="E548">
        <f t="shared" si="51"/>
        <v>69</v>
      </c>
      <c r="F548">
        <f t="shared" si="52"/>
        <v>7.8985507246376816</v>
      </c>
      <c r="G548">
        <f>_xlfn.CEILING.MATH($F548)</f>
        <v>8</v>
      </c>
      <c r="H548">
        <f t="shared" si="53"/>
        <v>-1.26811594202898</v>
      </c>
    </row>
    <row r="549" spans="1:8" x14ac:dyDescent="0.3">
      <c r="A549">
        <v>546</v>
      </c>
      <c r="B549">
        <f t="shared" si="48"/>
        <v>68.25</v>
      </c>
      <c r="C549">
        <f t="shared" si="49"/>
        <v>68</v>
      </c>
      <c r="D549">
        <f t="shared" si="50"/>
        <v>69.125</v>
      </c>
      <c r="E549">
        <f t="shared" si="51"/>
        <v>69</v>
      </c>
      <c r="F549">
        <f t="shared" si="52"/>
        <v>7.9130434782608692</v>
      </c>
      <c r="G549">
        <f>_xlfn.CEILING.MATH($F549)</f>
        <v>8</v>
      </c>
      <c r="H549">
        <f t="shared" si="53"/>
        <v>-1.0869565217391353</v>
      </c>
    </row>
    <row r="550" spans="1:8" x14ac:dyDescent="0.3">
      <c r="A550">
        <v>547</v>
      </c>
      <c r="B550">
        <f t="shared" si="48"/>
        <v>68.375</v>
      </c>
      <c r="C550">
        <f t="shared" si="49"/>
        <v>68</v>
      </c>
      <c r="D550">
        <f t="shared" si="50"/>
        <v>69.25</v>
      </c>
      <c r="E550">
        <f t="shared" si="51"/>
        <v>69</v>
      </c>
      <c r="F550">
        <f t="shared" si="52"/>
        <v>7.9275362318840576</v>
      </c>
      <c r="G550">
        <f>_xlfn.CEILING.MATH($F550)</f>
        <v>8</v>
      </c>
      <c r="H550">
        <f t="shared" si="53"/>
        <v>-0.90579710144927938</v>
      </c>
    </row>
    <row r="551" spans="1:8" x14ac:dyDescent="0.3">
      <c r="A551">
        <v>548</v>
      </c>
      <c r="B551">
        <f t="shared" si="48"/>
        <v>68.5</v>
      </c>
      <c r="C551">
        <f t="shared" si="49"/>
        <v>68</v>
      </c>
      <c r="D551">
        <f t="shared" si="50"/>
        <v>69.375</v>
      </c>
      <c r="E551">
        <f t="shared" si="51"/>
        <v>69</v>
      </c>
      <c r="F551">
        <f t="shared" si="52"/>
        <v>7.9420289855072461</v>
      </c>
      <c r="G551">
        <f>_xlfn.CEILING.MATH($F551)</f>
        <v>8</v>
      </c>
      <c r="H551">
        <f t="shared" si="53"/>
        <v>-0.72463768115942351</v>
      </c>
    </row>
    <row r="552" spans="1:8" x14ac:dyDescent="0.3">
      <c r="A552">
        <v>549</v>
      </c>
      <c r="B552">
        <f t="shared" si="48"/>
        <v>68.625</v>
      </c>
      <c r="C552">
        <f t="shared" si="49"/>
        <v>68</v>
      </c>
      <c r="D552">
        <f t="shared" si="50"/>
        <v>69.5</v>
      </c>
      <c r="E552">
        <f t="shared" si="51"/>
        <v>69</v>
      </c>
      <c r="F552">
        <f t="shared" si="52"/>
        <v>7.9565217391304346</v>
      </c>
      <c r="G552">
        <f>_xlfn.CEILING.MATH($F552)</f>
        <v>8</v>
      </c>
      <c r="H552">
        <f t="shared" si="53"/>
        <v>-0.54347826086956763</v>
      </c>
    </row>
    <row r="553" spans="1:8" x14ac:dyDescent="0.3">
      <c r="A553">
        <v>550</v>
      </c>
      <c r="B553">
        <f t="shared" si="48"/>
        <v>68.75</v>
      </c>
      <c r="C553">
        <f t="shared" si="49"/>
        <v>68</v>
      </c>
      <c r="D553">
        <f t="shared" si="50"/>
        <v>69.625</v>
      </c>
      <c r="E553">
        <f t="shared" si="51"/>
        <v>69</v>
      </c>
      <c r="F553">
        <f t="shared" si="52"/>
        <v>7.9710144927536231</v>
      </c>
      <c r="G553">
        <f>_xlfn.CEILING.MATH($F553)</f>
        <v>8</v>
      </c>
      <c r="H553">
        <f t="shared" si="53"/>
        <v>-0.36231884057971175</v>
      </c>
    </row>
    <row r="554" spans="1:8" x14ac:dyDescent="0.3">
      <c r="A554">
        <v>551</v>
      </c>
      <c r="B554">
        <f t="shared" si="48"/>
        <v>68.875</v>
      </c>
      <c r="C554">
        <f t="shared" si="49"/>
        <v>68</v>
      </c>
      <c r="D554">
        <f t="shared" si="50"/>
        <v>69.75</v>
      </c>
      <c r="E554">
        <f t="shared" si="51"/>
        <v>69</v>
      </c>
      <c r="F554">
        <f t="shared" si="52"/>
        <v>7.9855072463768115</v>
      </c>
      <c r="G554">
        <f>_xlfn.CEILING.MATH($F554)</f>
        <v>8</v>
      </c>
      <c r="H554">
        <f t="shared" si="53"/>
        <v>-0.18115942028985588</v>
      </c>
    </row>
    <row r="555" spans="1:8" x14ac:dyDescent="0.3">
      <c r="A555">
        <v>552</v>
      </c>
      <c r="B555">
        <f t="shared" si="48"/>
        <v>69</v>
      </c>
      <c r="C555">
        <f t="shared" si="49"/>
        <v>69</v>
      </c>
      <c r="D555">
        <f t="shared" si="50"/>
        <v>69.875</v>
      </c>
      <c r="E555">
        <f t="shared" si="51"/>
        <v>69</v>
      </c>
      <c r="F555">
        <f t="shared" si="52"/>
        <v>8</v>
      </c>
      <c r="G555">
        <f>_xlfn.CEILING.MATH($F555)</f>
        <v>8</v>
      </c>
      <c r="H555">
        <f t="shared" si="53"/>
        <v>0</v>
      </c>
    </row>
    <row r="556" spans="1:8" x14ac:dyDescent="0.3">
      <c r="A556">
        <v>553</v>
      </c>
      <c r="B556">
        <f t="shared" si="48"/>
        <v>69.125</v>
      </c>
      <c r="C556">
        <f t="shared" si="49"/>
        <v>69</v>
      </c>
      <c r="D556">
        <f t="shared" si="50"/>
        <v>70</v>
      </c>
      <c r="E556">
        <f t="shared" si="51"/>
        <v>70</v>
      </c>
      <c r="F556">
        <f t="shared" si="52"/>
        <v>7.9</v>
      </c>
      <c r="G556">
        <f>_xlfn.CEILING.MATH($F556)</f>
        <v>8</v>
      </c>
      <c r="H556">
        <f t="shared" si="53"/>
        <v>-1.2499999999999956</v>
      </c>
    </row>
    <row r="557" spans="1:8" x14ac:dyDescent="0.3">
      <c r="A557">
        <v>554</v>
      </c>
      <c r="B557">
        <f t="shared" si="48"/>
        <v>69.25</v>
      </c>
      <c r="C557">
        <f t="shared" si="49"/>
        <v>69</v>
      </c>
      <c r="D557">
        <f t="shared" si="50"/>
        <v>70.125</v>
      </c>
      <c r="E557">
        <f t="shared" si="51"/>
        <v>70</v>
      </c>
      <c r="F557">
        <f t="shared" si="52"/>
        <v>7.9142857142857146</v>
      </c>
      <c r="G557">
        <f>_xlfn.CEILING.MATH($F557)</f>
        <v>8</v>
      </c>
      <c r="H557">
        <f t="shared" si="53"/>
        <v>-1.0714285714285676</v>
      </c>
    </row>
    <row r="558" spans="1:8" x14ac:dyDescent="0.3">
      <c r="A558">
        <v>555</v>
      </c>
      <c r="B558">
        <f t="shared" si="48"/>
        <v>69.375</v>
      </c>
      <c r="C558">
        <f t="shared" si="49"/>
        <v>69</v>
      </c>
      <c r="D558">
        <f t="shared" si="50"/>
        <v>70.25</v>
      </c>
      <c r="E558">
        <f t="shared" si="51"/>
        <v>70</v>
      </c>
      <c r="F558">
        <f t="shared" si="52"/>
        <v>7.9285714285714288</v>
      </c>
      <c r="G558">
        <f>_xlfn.CEILING.MATH($F558)</f>
        <v>8</v>
      </c>
      <c r="H558">
        <f t="shared" si="53"/>
        <v>-0.89285714285713969</v>
      </c>
    </row>
    <row r="559" spans="1:8" x14ac:dyDescent="0.3">
      <c r="A559">
        <v>556</v>
      </c>
      <c r="B559">
        <f t="shared" si="48"/>
        <v>69.5</v>
      </c>
      <c r="C559">
        <f t="shared" si="49"/>
        <v>69</v>
      </c>
      <c r="D559">
        <f t="shared" si="50"/>
        <v>70.375</v>
      </c>
      <c r="E559">
        <f t="shared" si="51"/>
        <v>70</v>
      </c>
      <c r="F559">
        <f t="shared" si="52"/>
        <v>7.9428571428571431</v>
      </c>
      <c r="G559">
        <f>_xlfn.CEILING.MATH($F559)</f>
        <v>8</v>
      </c>
      <c r="H559">
        <f t="shared" si="53"/>
        <v>-0.71428571428571175</v>
      </c>
    </row>
    <row r="560" spans="1:8" x14ac:dyDescent="0.3">
      <c r="A560">
        <v>557</v>
      </c>
      <c r="B560">
        <f t="shared" si="48"/>
        <v>69.625</v>
      </c>
      <c r="C560">
        <f t="shared" si="49"/>
        <v>69</v>
      </c>
      <c r="D560">
        <f t="shared" si="50"/>
        <v>70.5</v>
      </c>
      <c r="E560">
        <f t="shared" si="51"/>
        <v>70</v>
      </c>
      <c r="F560">
        <f t="shared" si="52"/>
        <v>7.9571428571428573</v>
      </c>
      <c r="G560">
        <f>_xlfn.CEILING.MATH($F560)</f>
        <v>8</v>
      </c>
      <c r="H560">
        <f t="shared" si="53"/>
        <v>-0.53571428571428381</v>
      </c>
    </row>
    <row r="561" spans="1:8" x14ac:dyDescent="0.3">
      <c r="A561">
        <v>558</v>
      </c>
      <c r="B561">
        <f t="shared" si="48"/>
        <v>69.75</v>
      </c>
      <c r="C561">
        <f t="shared" si="49"/>
        <v>69</v>
      </c>
      <c r="D561">
        <f t="shared" si="50"/>
        <v>70.625</v>
      </c>
      <c r="E561">
        <f t="shared" si="51"/>
        <v>70</v>
      </c>
      <c r="F561">
        <f t="shared" si="52"/>
        <v>7.9714285714285715</v>
      </c>
      <c r="G561">
        <f>_xlfn.CEILING.MATH($F561)</f>
        <v>8</v>
      </c>
      <c r="H561">
        <f t="shared" si="53"/>
        <v>-0.35714285714285587</v>
      </c>
    </row>
    <row r="562" spans="1:8" x14ac:dyDescent="0.3">
      <c r="A562">
        <v>559</v>
      </c>
      <c r="B562">
        <f t="shared" si="48"/>
        <v>69.875</v>
      </c>
      <c r="C562">
        <f t="shared" si="49"/>
        <v>69</v>
      </c>
      <c r="D562">
        <f t="shared" si="50"/>
        <v>70.75</v>
      </c>
      <c r="E562">
        <f t="shared" si="51"/>
        <v>70</v>
      </c>
      <c r="F562">
        <f t="shared" si="52"/>
        <v>7.9857142857142858</v>
      </c>
      <c r="G562">
        <f>_xlfn.CEILING.MATH($F562)</f>
        <v>8</v>
      </c>
      <c r="H562">
        <f t="shared" si="53"/>
        <v>-0.17857142857142794</v>
      </c>
    </row>
    <row r="563" spans="1:8" x14ac:dyDescent="0.3">
      <c r="A563">
        <v>560</v>
      </c>
      <c r="B563">
        <f t="shared" si="48"/>
        <v>70</v>
      </c>
      <c r="C563">
        <f t="shared" si="49"/>
        <v>70</v>
      </c>
      <c r="D563">
        <f t="shared" si="50"/>
        <v>70.875</v>
      </c>
      <c r="E563">
        <f t="shared" si="51"/>
        <v>70</v>
      </c>
      <c r="F563">
        <f t="shared" si="52"/>
        <v>8</v>
      </c>
      <c r="G563">
        <f>_xlfn.CEILING.MATH($F563)</f>
        <v>8</v>
      </c>
      <c r="H563">
        <f t="shared" si="53"/>
        <v>0</v>
      </c>
    </row>
    <row r="564" spans="1:8" x14ac:dyDescent="0.3">
      <c r="A564">
        <v>561</v>
      </c>
      <c r="B564">
        <f t="shared" si="48"/>
        <v>70.125</v>
      </c>
      <c r="C564">
        <f t="shared" si="49"/>
        <v>70</v>
      </c>
      <c r="D564">
        <f t="shared" si="50"/>
        <v>71</v>
      </c>
      <c r="E564">
        <f t="shared" si="51"/>
        <v>71</v>
      </c>
      <c r="F564">
        <f t="shared" si="52"/>
        <v>7.901408450704225</v>
      </c>
      <c r="G564">
        <f>_xlfn.CEILING.MATH($F564)</f>
        <v>8</v>
      </c>
      <c r="H564">
        <f t="shared" si="53"/>
        <v>-1.232394366197187</v>
      </c>
    </row>
    <row r="565" spans="1:8" x14ac:dyDescent="0.3">
      <c r="A565">
        <v>562</v>
      </c>
      <c r="B565">
        <f t="shared" si="48"/>
        <v>70.25</v>
      </c>
      <c r="C565">
        <f t="shared" si="49"/>
        <v>70</v>
      </c>
      <c r="D565">
        <f t="shared" si="50"/>
        <v>71.125</v>
      </c>
      <c r="E565">
        <f t="shared" si="51"/>
        <v>71</v>
      </c>
      <c r="F565">
        <f t="shared" si="52"/>
        <v>7.915492957746479</v>
      </c>
      <c r="G565">
        <f>_xlfn.CEILING.MATH($F565)</f>
        <v>8</v>
      </c>
      <c r="H565">
        <f t="shared" si="53"/>
        <v>-1.0563380281690127</v>
      </c>
    </row>
    <row r="566" spans="1:8" x14ac:dyDescent="0.3">
      <c r="A566">
        <v>563</v>
      </c>
      <c r="B566">
        <f t="shared" si="48"/>
        <v>70.375</v>
      </c>
      <c r="C566">
        <f t="shared" si="49"/>
        <v>70</v>
      </c>
      <c r="D566">
        <f t="shared" si="50"/>
        <v>71.25</v>
      </c>
      <c r="E566">
        <f t="shared" si="51"/>
        <v>71</v>
      </c>
      <c r="F566">
        <f t="shared" si="52"/>
        <v>7.929577464788732</v>
      </c>
      <c r="G566">
        <f>_xlfn.CEILING.MATH($F566)</f>
        <v>8</v>
      </c>
      <c r="H566">
        <f t="shared" si="53"/>
        <v>-0.88028169014084945</v>
      </c>
    </row>
    <row r="567" spans="1:8" x14ac:dyDescent="0.3">
      <c r="A567">
        <v>564</v>
      </c>
      <c r="B567">
        <f t="shared" si="48"/>
        <v>70.5</v>
      </c>
      <c r="C567">
        <f t="shared" si="49"/>
        <v>70</v>
      </c>
      <c r="D567">
        <f t="shared" si="50"/>
        <v>71.375</v>
      </c>
      <c r="E567">
        <f t="shared" si="51"/>
        <v>71</v>
      </c>
      <c r="F567">
        <f t="shared" si="52"/>
        <v>7.943661971830986</v>
      </c>
      <c r="G567">
        <f>_xlfn.CEILING.MATH($F567)</f>
        <v>8</v>
      </c>
      <c r="H567">
        <f t="shared" si="53"/>
        <v>-0.70422535211267512</v>
      </c>
    </row>
    <row r="568" spans="1:8" x14ac:dyDescent="0.3">
      <c r="A568">
        <v>565</v>
      </c>
      <c r="B568">
        <f t="shared" si="48"/>
        <v>70.625</v>
      </c>
      <c r="C568">
        <f t="shared" si="49"/>
        <v>70</v>
      </c>
      <c r="D568">
        <f t="shared" si="50"/>
        <v>71.5</v>
      </c>
      <c r="E568">
        <f t="shared" si="51"/>
        <v>71</v>
      </c>
      <c r="F568">
        <f t="shared" si="52"/>
        <v>7.957746478873239</v>
      </c>
      <c r="G568">
        <f>_xlfn.CEILING.MATH($F568)</f>
        <v>8</v>
      </c>
      <c r="H568">
        <f t="shared" si="53"/>
        <v>-0.52816901408451189</v>
      </c>
    </row>
    <row r="569" spans="1:8" x14ac:dyDescent="0.3">
      <c r="A569">
        <v>566</v>
      </c>
      <c r="B569">
        <f t="shared" si="48"/>
        <v>70.75</v>
      </c>
      <c r="C569">
        <f t="shared" si="49"/>
        <v>70</v>
      </c>
      <c r="D569">
        <f t="shared" si="50"/>
        <v>71.625</v>
      </c>
      <c r="E569">
        <f t="shared" si="51"/>
        <v>71</v>
      </c>
      <c r="F569">
        <f t="shared" si="52"/>
        <v>7.971830985915493</v>
      </c>
      <c r="G569">
        <f>_xlfn.CEILING.MATH($F569)</f>
        <v>8</v>
      </c>
      <c r="H569">
        <f t="shared" si="53"/>
        <v>-0.35211267605633756</v>
      </c>
    </row>
    <row r="570" spans="1:8" x14ac:dyDescent="0.3">
      <c r="A570">
        <v>567</v>
      </c>
      <c r="B570">
        <f t="shared" si="48"/>
        <v>70.875</v>
      </c>
      <c r="C570">
        <f t="shared" si="49"/>
        <v>70</v>
      </c>
      <c r="D570">
        <f t="shared" si="50"/>
        <v>71.75</v>
      </c>
      <c r="E570">
        <f t="shared" si="51"/>
        <v>71</v>
      </c>
      <c r="F570">
        <f t="shared" si="52"/>
        <v>7.9859154929577461</v>
      </c>
      <c r="G570">
        <f>_xlfn.CEILING.MATH($F570)</f>
        <v>8</v>
      </c>
      <c r="H570">
        <f t="shared" si="53"/>
        <v>-0.17605633802817433</v>
      </c>
    </row>
    <row r="571" spans="1:8" x14ac:dyDescent="0.3">
      <c r="A571">
        <v>568</v>
      </c>
      <c r="B571">
        <f t="shared" si="48"/>
        <v>71</v>
      </c>
      <c r="C571">
        <f t="shared" si="49"/>
        <v>71</v>
      </c>
      <c r="D571">
        <f t="shared" si="50"/>
        <v>71.875</v>
      </c>
      <c r="E571">
        <f t="shared" si="51"/>
        <v>71</v>
      </c>
      <c r="F571">
        <f t="shared" si="52"/>
        <v>8</v>
      </c>
      <c r="G571">
        <f>_xlfn.CEILING.MATH($F571)</f>
        <v>8</v>
      </c>
      <c r="H571">
        <f t="shared" si="53"/>
        <v>0</v>
      </c>
    </row>
    <row r="572" spans="1:8" x14ac:dyDescent="0.3">
      <c r="A572">
        <v>569</v>
      </c>
      <c r="B572">
        <f t="shared" si="48"/>
        <v>71.125</v>
      </c>
      <c r="C572">
        <f t="shared" si="49"/>
        <v>71</v>
      </c>
      <c r="D572">
        <f t="shared" si="50"/>
        <v>72</v>
      </c>
      <c r="E572">
        <f t="shared" si="51"/>
        <v>72</v>
      </c>
      <c r="F572">
        <f t="shared" si="52"/>
        <v>7.9027777777777777</v>
      </c>
      <c r="G572">
        <f>_xlfn.CEILING.MATH($F572)</f>
        <v>8</v>
      </c>
      <c r="H572">
        <f t="shared" si="53"/>
        <v>-1.215277777777779</v>
      </c>
    </row>
    <row r="573" spans="1:8" x14ac:dyDescent="0.3">
      <c r="A573">
        <v>570</v>
      </c>
      <c r="B573">
        <f t="shared" si="48"/>
        <v>71.25</v>
      </c>
      <c r="C573">
        <f t="shared" si="49"/>
        <v>71</v>
      </c>
      <c r="D573">
        <f t="shared" si="50"/>
        <v>72.125</v>
      </c>
      <c r="E573">
        <f t="shared" si="51"/>
        <v>72</v>
      </c>
      <c r="F573">
        <f t="shared" si="52"/>
        <v>7.916666666666667</v>
      </c>
      <c r="G573">
        <f>_xlfn.CEILING.MATH($F573)</f>
        <v>8</v>
      </c>
      <c r="H573">
        <f t="shared" si="53"/>
        <v>-1.041666666666663</v>
      </c>
    </row>
    <row r="574" spans="1:8" x14ac:dyDescent="0.3">
      <c r="A574">
        <v>571</v>
      </c>
      <c r="B574">
        <f t="shared" si="48"/>
        <v>71.375</v>
      </c>
      <c r="C574">
        <f t="shared" si="49"/>
        <v>71</v>
      </c>
      <c r="D574">
        <f t="shared" si="50"/>
        <v>72.25</v>
      </c>
      <c r="E574">
        <f t="shared" si="51"/>
        <v>72</v>
      </c>
      <c r="F574">
        <f t="shared" si="52"/>
        <v>7.9305555555555554</v>
      </c>
      <c r="G574">
        <f>_xlfn.CEILING.MATH($F574)</f>
        <v>8</v>
      </c>
      <c r="H574">
        <f t="shared" si="53"/>
        <v>-0.86805555555555802</v>
      </c>
    </row>
    <row r="575" spans="1:8" x14ac:dyDescent="0.3">
      <c r="A575">
        <v>572</v>
      </c>
      <c r="B575">
        <f t="shared" si="48"/>
        <v>71.5</v>
      </c>
      <c r="C575">
        <f t="shared" si="49"/>
        <v>71</v>
      </c>
      <c r="D575">
        <f t="shared" si="50"/>
        <v>72.375</v>
      </c>
      <c r="E575">
        <f t="shared" si="51"/>
        <v>72</v>
      </c>
      <c r="F575">
        <f t="shared" si="52"/>
        <v>7.9444444444444446</v>
      </c>
      <c r="G575">
        <f>_xlfn.CEILING.MATH($F575)</f>
        <v>8</v>
      </c>
      <c r="H575">
        <f t="shared" si="53"/>
        <v>-0.69444444444444198</v>
      </c>
    </row>
    <row r="576" spans="1:8" x14ac:dyDescent="0.3">
      <c r="A576">
        <v>573</v>
      </c>
      <c r="B576">
        <f t="shared" si="48"/>
        <v>71.625</v>
      </c>
      <c r="C576">
        <f t="shared" si="49"/>
        <v>71</v>
      </c>
      <c r="D576">
        <f t="shared" si="50"/>
        <v>72.5</v>
      </c>
      <c r="E576">
        <f t="shared" si="51"/>
        <v>72</v>
      </c>
      <c r="F576">
        <f t="shared" si="52"/>
        <v>7.958333333333333</v>
      </c>
      <c r="G576">
        <f>_xlfn.CEILING.MATH($F576)</f>
        <v>8</v>
      </c>
      <c r="H576">
        <f t="shared" si="53"/>
        <v>-0.52083333333333703</v>
      </c>
    </row>
    <row r="577" spans="1:8" x14ac:dyDescent="0.3">
      <c r="A577">
        <v>574</v>
      </c>
      <c r="B577">
        <f t="shared" si="48"/>
        <v>71.75</v>
      </c>
      <c r="C577">
        <f t="shared" si="49"/>
        <v>71</v>
      </c>
      <c r="D577">
        <f t="shared" si="50"/>
        <v>72.625</v>
      </c>
      <c r="E577">
        <f t="shared" si="51"/>
        <v>72</v>
      </c>
      <c r="F577">
        <f t="shared" si="52"/>
        <v>7.9722222222222223</v>
      </c>
      <c r="G577">
        <f>_xlfn.CEILING.MATH($F577)</f>
        <v>8</v>
      </c>
      <c r="H577">
        <f t="shared" si="53"/>
        <v>-0.34722222222222099</v>
      </c>
    </row>
    <row r="578" spans="1:8" x14ac:dyDescent="0.3">
      <c r="A578">
        <v>575</v>
      </c>
      <c r="B578">
        <f t="shared" si="48"/>
        <v>71.875</v>
      </c>
      <c r="C578">
        <f t="shared" si="49"/>
        <v>71</v>
      </c>
      <c r="D578">
        <f t="shared" si="50"/>
        <v>72.75</v>
      </c>
      <c r="E578">
        <f t="shared" si="51"/>
        <v>72</v>
      </c>
      <c r="F578">
        <f t="shared" si="52"/>
        <v>7.9861111111111107</v>
      </c>
      <c r="G578">
        <f>_xlfn.CEILING.MATH($F578)</f>
        <v>8</v>
      </c>
      <c r="H578">
        <f t="shared" si="53"/>
        <v>-0.17361111111111605</v>
      </c>
    </row>
    <row r="579" spans="1:8" x14ac:dyDescent="0.3">
      <c r="A579">
        <v>576</v>
      </c>
      <c r="B579">
        <f t="shared" si="48"/>
        <v>72</v>
      </c>
      <c r="C579">
        <f t="shared" si="49"/>
        <v>72</v>
      </c>
      <c r="D579">
        <f t="shared" si="50"/>
        <v>72.875</v>
      </c>
      <c r="E579">
        <f t="shared" si="51"/>
        <v>72</v>
      </c>
      <c r="F579">
        <f t="shared" si="52"/>
        <v>8</v>
      </c>
      <c r="G579">
        <f>_xlfn.CEILING.MATH($F579)</f>
        <v>8</v>
      </c>
      <c r="H579">
        <f t="shared" si="53"/>
        <v>0</v>
      </c>
    </row>
    <row r="580" spans="1:8" x14ac:dyDescent="0.3">
      <c r="A580">
        <v>577</v>
      </c>
      <c r="B580">
        <f t="shared" si="48"/>
        <v>72.125</v>
      </c>
      <c r="C580">
        <f t="shared" si="49"/>
        <v>72</v>
      </c>
      <c r="D580">
        <f t="shared" si="50"/>
        <v>73</v>
      </c>
      <c r="E580">
        <f t="shared" si="51"/>
        <v>73</v>
      </c>
      <c r="F580">
        <f t="shared" si="52"/>
        <v>7.904109589041096</v>
      </c>
      <c r="G580">
        <f>_xlfn.CEILING.MATH($F580)</f>
        <v>8</v>
      </c>
      <c r="H580">
        <f t="shared" si="53"/>
        <v>-1.1986301369863006</v>
      </c>
    </row>
    <row r="581" spans="1:8" x14ac:dyDescent="0.3">
      <c r="A581">
        <v>578</v>
      </c>
      <c r="B581">
        <f t="shared" si="48"/>
        <v>72.25</v>
      </c>
      <c r="C581">
        <f t="shared" si="49"/>
        <v>72</v>
      </c>
      <c r="D581">
        <f t="shared" si="50"/>
        <v>73.125</v>
      </c>
      <c r="E581">
        <f t="shared" si="51"/>
        <v>73</v>
      </c>
      <c r="F581">
        <f t="shared" si="52"/>
        <v>7.9178082191780819</v>
      </c>
      <c r="G581">
        <f>_xlfn.CEILING.MATH($F581)</f>
        <v>8</v>
      </c>
      <c r="H581">
        <f t="shared" si="53"/>
        <v>-1.0273972602739767</v>
      </c>
    </row>
    <row r="582" spans="1:8" x14ac:dyDescent="0.3">
      <c r="A582">
        <v>579</v>
      </c>
      <c r="B582">
        <f t="shared" ref="B582:B645" si="54">$A582/8</f>
        <v>72.375</v>
      </c>
      <c r="C582">
        <f t="shared" ref="C582:C645" si="55">_xlfn.FLOOR.MATH($B582)</f>
        <v>72</v>
      </c>
      <c r="D582">
        <f t="shared" ref="D582:D645" si="56">($A582+7)/8</f>
        <v>73.25</v>
      </c>
      <c r="E582">
        <f t="shared" ref="E582:E645" si="57">_xlfn.FLOOR.MATH($D582)</f>
        <v>73</v>
      </c>
      <c r="F582">
        <f t="shared" ref="F582:F645" si="58">$A582/$E582</f>
        <v>7.9315068493150687</v>
      </c>
      <c r="G582">
        <f>_xlfn.CEILING.MATH($F582)</f>
        <v>8</v>
      </c>
      <c r="H582">
        <f t="shared" ref="H582:H645" si="59">($F582/8-1)*100</f>
        <v>-0.85616438356164171</v>
      </c>
    </row>
    <row r="583" spans="1:8" x14ac:dyDescent="0.3">
      <c r="A583">
        <v>580</v>
      </c>
      <c r="B583">
        <f t="shared" si="54"/>
        <v>72.5</v>
      </c>
      <c r="C583">
        <f t="shared" si="55"/>
        <v>72</v>
      </c>
      <c r="D583">
        <f t="shared" si="56"/>
        <v>73.375</v>
      </c>
      <c r="E583">
        <f t="shared" si="57"/>
        <v>73</v>
      </c>
      <c r="F583">
        <f t="shared" si="58"/>
        <v>7.9452054794520546</v>
      </c>
      <c r="G583">
        <f>_xlfn.CEILING.MATH($F583)</f>
        <v>8</v>
      </c>
      <c r="H583">
        <f t="shared" si="59"/>
        <v>-0.68493150684931781</v>
      </c>
    </row>
    <row r="584" spans="1:8" x14ac:dyDescent="0.3">
      <c r="A584">
        <v>581</v>
      </c>
      <c r="B584">
        <f t="shared" si="54"/>
        <v>72.625</v>
      </c>
      <c r="C584">
        <f t="shared" si="55"/>
        <v>72</v>
      </c>
      <c r="D584">
        <f t="shared" si="56"/>
        <v>73.5</v>
      </c>
      <c r="E584">
        <f t="shared" si="57"/>
        <v>73</v>
      </c>
      <c r="F584">
        <f t="shared" si="58"/>
        <v>7.9589041095890414</v>
      </c>
      <c r="G584">
        <f>_xlfn.CEILING.MATH($F584)</f>
        <v>8</v>
      </c>
      <c r="H584">
        <f t="shared" si="59"/>
        <v>-0.5136986301369828</v>
      </c>
    </row>
    <row r="585" spans="1:8" x14ac:dyDescent="0.3">
      <c r="A585">
        <v>582</v>
      </c>
      <c r="B585">
        <f t="shared" si="54"/>
        <v>72.75</v>
      </c>
      <c r="C585">
        <f t="shared" si="55"/>
        <v>72</v>
      </c>
      <c r="D585">
        <f t="shared" si="56"/>
        <v>73.625</v>
      </c>
      <c r="E585">
        <f t="shared" si="57"/>
        <v>73</v>
      </c>
      <c r="F585">
        <f t="shared" si="58"/>
        <v>7.9726027397260273</v>
      </c>
      <c r="G585">
        <f>_xlfn.CEILING.MATH($F585)</f>
        <v>8</v>
      </c>
      <c r="H585">
        <f t="shared" si="59"/>
        <v>-0.3424657534246589</v>
      </c>
    </row>
    <row r="586" spans="1:8" x14ac:dyDescent="0.3">
      <c r="A586">
        <v>583</v>
      </c>
      <c r="B586">
        <f t="shared" si="54"/>
        <v>72.875</v>
      </c>
      <c r="C586">
        <f t="shared" si="55"/>
        <v>72</v>
      </c>
      <c r="D586">
        <f t="shared" si="56"/>
        <v>73.75</v>
      </c>
      <c r="E586">
        <f t="shared" si="57"/>
        <v>73</v>
      </c>
      <c r="F586">
        <f t="shared" si="58"/>
        <v>7.9863013698630141</v>
      </c>
      <c r="G586">
        <f>_xlfn.CEILING.MATH($F586)</f>
        <v>8</v>
      </c>
      <c r="H586">
        <f t="shared" si="59"/>
        <v>-0.1712328767123239</v>
      </c>
    </row>
    <row r="587" spans="1:8" x14ac:dyDescent="0.3">
      <c r="A587">
        <v>584</v>
      </c>
      <c r="B587">
        <f t="shared" si="54"/>
        <v>73</v>
      </c>
      <c r="C587">
        <f t="shared" si="55"/>
        <v>73</v>
      </c>
      <c r="D587">
        <f t="shared" si="56"/>
        <v>73.875</v>
      </c>
      <c r="E587">
        <f t="shared" si="57"/>
        <v>73</v>
      </c>
      <c r="F587">
        <f t="shared" si="58"/>
        <v>8</v>
      </c>
      <c r="G587">
        <f>_xlfn.CEILING.MATH($F587)</f>
        <v>8</v>
      </c>
      <c r="H587">
        <f t="shared" si="59"/>
        <v>0</v>
      </c>
    </row>
    <row r="588" spans="1:8" x14ac:dyDescent="0.3">
      <c r="A588">
        <v>585</v>
      </c>
      <c r="B588">
        <f t="shared" si="54"/>
        <v>73.125</v>
      </c>
      <c r="C588">
        <f t="shared" si="55"/>
        <v>73</v>
      </c>
      <c r="D588">
        <f t="shared" si="56"/>
        <v>74</v>
      </c>
      <c r="E588">
        <f t="shared" si="57"/>
        <v>74</v>
      </c>
      <c r="F588">
        <f t="shared" si="58"/>
        <v>7.9054054054054053</v>
      </c>
      <c r="G588">
        <f>_xlfn.CEILING.MATH($F588)</f>
        <v>8</v>
      </c>
      <c r="H588">
        <f t="shared" si="59"/>
        <v>-1.1824324324324342</v>
      </c>
    </row>
    <row r="589" spans="1:8" x14ac:dyDescent="0.3">
      <c r="A589">
        <v>586</v>
      </c>
      <c r="B589">
        <f t="shared" si="54"/>
        <v>73.25</v>
      </c>
      <c r="C589">
        <f t="shared" si="55"/>
        <v>73</v>
      </c>
      <c r="D589">
        <f t="shared" si="56"/>
        <v>74.125</v>
      </c>
      <c r="E589">
        <f t="shared" si="57"/>
        <v>74</v>
      </c>
      <c r="F589">
        <f t="shared" si="58"/>
        <v>7.9189189189189193</v>
      </c>
      <c r="G589">
        <f>_xlfn.CEILING.MATH($F589)</f>
        <v>8</v>
      </c>
      <c r="H589">
        <f t="shared" si="59"/>
        <v>-1.0135135135135087</v>
      </c>
    </row>
    <row r="590" spans="1:8" x14ac:dyDescent="0.3">
      <c r="A590">
        <v>587</v>
      </c>
      <c r="B590">
        <f t="shared" si="54"/>
        <v>73.375</v>
      </c>
      <c r="C590">
        <f t="shared" si="55"/>
        <v>73</v>
      </c>
      <c r="D590">
        <f t="shared" si="56"/>
        <v>74.25</v>
      </c>
      <c r="E590">
        <f t="shared" si="57"/>
        <v>74</v>
      </c>
      <c r="F590">
        <f t="shared" si="58"/>
        <v>7.9324324324324325</v>
      </c>
      <c r="G590">
        <f>_xlfn.CEILING.MATH($F590)</f>
        <v>8</v>
      </c>
      <c r="H590">
        <f t="shared" si="59"/>
        <v>-0.84459459459459429</v>
      </c>
    </row>
    <row r="591" spans="1:8" x14ac:dyDescent="0.3">
      <c r="A591">
        <v>588</v>
      </c>
      <c r="B591">
        <f t="shared" si="54"/>
        <v>73.5</v>
      </c>
      <c r="C591">
        <f t="shared" si="55"/>
        <v>73</v>
      </c>
      <c r="D591">
        <f t="shared" si="56"/>
        <v>74.375</v>
      </c>
      <c r="E591">
        <f t="shared" si="57"/>
        <v>74</v>
      </c>
      <c r="F591">
        <f t="shared" si="58"/>
        <v>7.9459459459459456</v>
      </c>
      <c r="G591">
        <f>_xlfn.CEILING.MATH($F591)</f>
        <v>8</v>
      </c>
      <c r="H591">
        <f t="shared" si="59"/>
        <v>-0.67567567567567988</v>
      </c>
    </row>
    <row r="592" spans="1:8" x14ac:dyDescent="0.3">
      <c r="A592">
        <v>589</v>
      </c>
      <c r="B592">
        <f t="shared" si="54"/>
        <v>73.625</v>
      </c>
      <c r="C592">
        <f t="shared" si="55"/>
        <v>73</v>
      </c>
      <c r="D592">
        <f t="shared" si="56"/>
        <v>74.5</v>
      </c>
      <c r="E592">
        <f t="shared" si="57"/>
        <v>74</v>
      </c>
      <c r="F592">
        <f t="shared" si="58"/>
        <v>7.9594594594594597</v>
      </c>
      <c r="G592">
        <f>_xlfn.CEILING.MATH($F592)</f>
        <v>8</v>
      </c>
      <c r="H592">
        <f t="shared" si="59"/>
        <v>-0.50675675675675436</v>
      </c>
    </row>
    <row r="593" spans="1:8" x14ac:dyDescent="0.3">
      <c r="A593">
        <v>590</v>
      </c>
      <c r="B593">
        <f t="shared" si="54"/>
        <v>73.75</v>
      </c>
      <c r="C593">
        <f t="shared" si="55"/>
        <v>73</v>
      </c>
      <c r="D593">
        <f t="shared" si="56"/>
        <v>74.625</v>
      </c>
      <c r="E593">
        <f t="shared" si="57"/>
        <v>74</v>
      </c>
      <c r="F593">
        <f t="shared" si="58"/>
        <v>7.9729729729729728</v>
      </c>
      <c r="G593">
        <f>_xlfn.CEILING.MATH($F593)</f>
        <v>8</v>
      </c>
      <c r="H593">
        <f t="shared" si="59"/>
        <v>-0.33783783783783994</v>
      </c>
    </row>
    <row r="594" spans="1:8" x14ac:dyDescent="0.3">
      <c r="A594">
        <v>591</v>
      </c>
      <c r="B594">
        <f t="shared" si="54"/>
        <v>73.875</v>
      </c>
      <c r="C594">
        <f t="shared" si="55"/>
        <v>73</v>
      </c>
      <c r="D594">
        <f t="shared" si="56"/>
        <v>74.75</v>
      </c>
      <c r="E594">
        <f t="shared" si="57"/>
        <v>74</v>
      </c>
      <c r="F594">
        <f t="shared" si="58"/>
        <v>7.9864864864864868</v>
      </c>
      <c r="G594">
        <f>_xlfn.CEILING.MATH($F594)</f>
        <v>8</v>
      </c>
      <c r="H594">
        <f t="shared" si="59"/>
        <v>-0.16891891891891442</v>
      </c>
    </row>
    <row r="595" spans="1:8" x14ac:dyDescent="0.3">
      <c r="A595">
        <v>592</v>
      </c>
      <c r="B595">
        <f t="shared" si="54"/>
        <v>74</v>
      </c>
      <c r="C595">
        <f t="shared" si="55"/>
        <v>74</v>
      </c>
      <c r="D595">
        <f t="shared" si="56"/>
        <v>74.875</v>
      </c>
      <c r="E595">
        <f t="shared" si="57"/>
        <v>74</v>
      </c>
      <c r="F595">
        <f t="shared" si="58"/>
        <v>8</v>
      </c>
      <c r="G595">
        <f>_xlfn.CEILING.MATH($F595)</f>
        <v>8</v>
      </c>
      <c r="H595">
        <f t="shared" si="59"/>
        <v>0</v>
      </c>
    </row>
    <row r="596" spans="1:8" x14ac:dyDescent="0.3">
      <c r="A596">
        <v>593</v>
      </c>
      <c r="B596">
        <f t="shared" si="54"/>
        <v>74.125</v>
      </c>
      <c r="C596">
        <f t="shared" si="55"/>
        <v>74</v>
      </c>
      <c r="D596">
        <f t="shared" si="56"/>
        <v>75</v>
      </c>
      <c r="E596">
        <f t="shared" si="57"/>
        <v>75</v>
      </c>
      <c r="F596">
        <f t="shared" si="58"/>
        <v>7.9066666666666663</v>
      </c>
      <c r="G596">
        <f>_xlfn.CEILING.MATH($F596)</f>
        <v>8</v>
      </c>
      <c r="H596">
        <f t="shared" si="59"/>
        <v>-1.1666666666666714</v>
      </c>
    </row>
    <row r="597" spans="1:8" x14ac:dyDescent="0.3">
      <c r="A597">
        <v>594</v>
      </c>
      <c r="B597">
        <f t="shared" si="54"/>
        <v>74.25</v>
      </c>
      <c r="C597">
        <f t="shared" si="55"/>
        <v>74</v>
      </c>
      <c r="D597">
        <f t="shared" si="56"/>
        <v>75.125</v>
      </c>
      <c r="E597">
        <f t="shared" si="57"/>
        <v>75</v>
      </c>
      <c r="F597">
        <f t="shared" si="58"/>
        <v>7.92</v>
      </c>
      <c r="G597">
        <f>_xlfn.CEILING.MATH($F597)</f>
        <v>8</v>
      </c>
      <c r="H597">
        <f t="shared" si="59"/>
        <v>-1.0000000000000009</v>
      </c>
    </row>
    <row r="598" spans="1:8" x14ac:dyDescent="0.3">
      <c r="A598">
        <v>595</v>
      </c>
      <c r="B598">
        <f t="shared" si="54"/>
        <v>74.375</v>
      </c>
      <c r="C598">
        <f t="shared" si="55"/>
        <v>74</v>
      </c>
      <c r="D598">
        <f t="shared" si="56"/>
        <v>75.25</v>
      </c>
      <c r="E598">
        <f t="shared" si="57"/>
        <v>75</v>
      </c>
      <c r="F598">
        <f t="shared" si="58"/>
        <v>7.9333333333333336</v>
      </c>
      <c r="G598">
        <f>_xlfn.CEILING.MATH($F598)</f>
        <v>8</v>
      </c>
      <c r="H598">
        <f t="shared" si="59"/>
        <v>-0.83333333333333037</v>
      </c>
    </row>
    <row r="599" spans="1:8" x14ac:dyDescent="0.3">
      <c r="A599">
        <v>596</v>
      </c>
      <c r="B599">
        <f t="shared" si="54"/>
        <v>74.5</v>
      </c>
      <c r="C599">
        <f t="shared" si="55"/>
        <v>74</v>
      </c>
      <c r="D599">
        <f t="shared" si="56"/>
        <v>75.375</v>
      </c>
      <c r="E599">
        <f t="shared" si="57"/>
        <v>75</v>
      </c>
      <c r="F599">
        <f t="shared" si="58"/>
        <v>7.9466666666666663</v>
      </c>
      <c r="G599">
        <f>_xlfn.CEILING.MATH($F599)</f>
        <v>8</v>
      </c>
      <c r="H599">
        <f t="shared" si="59"/>
        <v>-0.66666666666667096</v>
      </c>
    </row>
    <row r="600" spans="1:8" x14ac:dyDescent="0.3">
      <c r="A600">
        <v>597</v>
      </c>
      <c r="B600">
        <f t="shared" si="54"/>
        <v>74.625</v>
      </c>
      <c r="C600">
        <f t="shared" si="55"/>
        <v>74</v>
      </c>
      <c r="D600">
        <f t="shared" si="56"/>
        <v>75.5</v>
      </c>
      <c r="E600">
        <f t="shared" si="57"/>
        <v>75</v>
      </c>
      <c r="F600">
        <f t="shared" si="58"/>
        <v>7.96</v>
      </c>
      <c r="G600">
        <f>_xlfn.CEILING.MATH($F600)</f>
        <v>8</v>
      </c>
      <c r="H600">
        <f t="shared" si="59"/>
        <v>-0.50000000000000044</v>
      </c>
    </row>
    <row r="601" spans="1:8" x14ac:dyDescent="0.3">
      <c r="A601">
        <v>598</v>
      </c>
      <c r="B601">
        <f t="shared" si="54"/>
        <v>74.75</v>
      </c>
      <c r="C601">
        <f t="shared" si="55"/>
        <v>74</v>
      </c>
      <c r="D601">
        <f t="shared" si="56"/>
        <v>75.625</v>
      </c>
      <c r="E601">
        <f t="shared" si="57"/>
        <v>75</v>
      </c>
      <c r="F601">
        <f t="shared" si="58"/>
        <v>7.9733333333333336</v>
      </c>
      <c r="G601">
        <f>_xlfn.CEILING.MATH($F601)</f>
        <v>8</v>
      </c>
      <c r="H601">
        <f t="shared" si="59"/>
        <v>-0.33333333333332993</v>
      </c>
    </row>
    <row r="602" spans="1:8" x14ac:dyDescent="0.3">
      <c r="A602">
        <v>599</v>
      </c>
      <c r="B602">
        <f t="shared" si="54"/>
        <v>74.875</v>
      </c>
      <c r="C602">
        <f t="shared" si="55"/>
        <v>74</v>
      </c>
      <c r="D602">
        <f t="shared" si="56"/>
        <v>75.75</v>
      </c>
      <c r="E602">
        <f t="shared" si="57"/>
        <v>75</v>
      </c>
      <c r="F602">
        <f t="shared" si="58"/>
        <v>7.9866666666666664</v>
      </c>
      <c r="G602">
        <f>_xlfn.CEILING.MATH($F602)</f>
        <v>8</v>
      </c>
      <c r="H602">
        <f t="shared" si="59"/>
        <v>-0.16666666666667052</v>
      </c>
    </row>
    <row r="603" spans="1:8" x14ac:dyDescent="0.3">
      <c r="A603">
        <v>600</v>
      </c>
      <c r="B603">
        <f t="shared" si="54"/>
        <v>75</v>
      </c>
      <c r="C603">
        <f t="shared" si="55"/>
        <v>75</v>
      </c>
      <c r="D603">
        <f t="shared" si="56"/>
        <v>75.875</v>
      </c>
      <c r="E603">
        <f t="shared" si="57"/>
        <v>75</v>
      </c>
      <c r="F603">
        <f t="shared" si="58"/>
        <v>8</v>
      </c>
      <c r="G603">
        <f>_xlfn.CEILING.MATH($F603)</f>
        <v>8</v>
      </c>
      <c r="H603">
        <f t="shared" si="59"/>
        <v>0</v>
      </c>
    </row>
    <row r="604" spans="1:8" x14ac:dyDescent="0.3">
      <c r="A604">
        <v>601</v>
      </c>
      <c r="B604">
        <f t="shared" si="54"/>
        <v>75.125</v>
      </c>
      <c r="C604">
        <f t="shared" si="55"/>
        <v>75</v>
      </c>
      <c r="D604">
        <f t="shared" si="56"/>
        <v>76</v>
      </c>
      <c r="E604">
        <f t="shared" si="57"/>
        <v>76</v>
      </c>
      <c r="F604">
        <f t="shared" si="58"/>
        <v>7.9078947368421053</v>
      </c>
      <c r="G604">
        <f>_xlfn.CEILING.MATH($F604)</f>
        <v>8</v>
      </c>
      <c r="H604">
        <f t="shared" si="59"/>
        <v>-1.1513157894736836</v>
      </c>
    </row>
    <row r="605" spans="1:8" x14ac:dyDescent="0.3">
      <c r="A605">
        <v>602</v>
      </c>
      <c r="B605">
        <f t="shared" si="54"/>
        <v>75.25</v>
      </c>
      <c r="C605">
        <f t="shared" si="55"/>
        <v>75</v>
      </c>
      <c r="D605">
        <f t="shared" si="56"/>
        <v>76.125</v>
      </c>
      <c r="E605">
        <f t="shared" si="57"/>
        <v>76</v>
      </c>
      <c r="F605">
        <f t="shared" si="58"/>
        <v>7.9210526315789478</v>
      </c>
      <c r="G605">
        <f>_xlfn.CEILING.MATH($F605)</f>
        <v>8</v>
      </c>
      <c r="H605">
        <f t="shared" si="59"/>
        <v>-0.98684210526315264</v>
      </c>
    </row>
    <row r="606" spans="1:8" x14ac:dyDescent="0.3">
      <c r="A606">
        <v>603</v>
      </c>
      <c r="B606">
        <f t="shared" si="54"/>
        <v>75.375</v>
      </c>
      <c r="C606">
        <f t="shared" si="55"/>
        <v>75</v>
      </c>
      <c r="D606">
        <f t="shared" si="56"/>
        <v>76.25</v>
      </c>
      <c r="E606">
        <f t="shared" si="57"/>
        <v>76</v>
      </c>
      <c r="F606">
        <f t="shared" si="58"/>
        <v>7.9342105263157894</v>
      </c>
      <c r="G606">
        <f>_xlfn.CEILING.MATH($F606)</f>
        <v>8</v>
      </c>
      <c r="H606">
        <f t="shared" si="59"/>
        <v>-0.82236842105263275</v>
      </c>
    </row>
    <row r="607" spans="1:8" x14ac:dyDescent="0.3">
      <c r="A607">
        <v>604</v>
      </c>
      <c r="B607">
        <f t="shared" si="54"/>
        <v>75.5</v>
      </c>
      <c r="C607">
        <f t="shared" si="55"/>
        <v>75</v>
      </c>
      <c r="D607">
        <f t="shared" si="56"/>
        <v>76.375</v>
      </c>
      <c r="E607">
        <f t="shared" si="57"/>
        <v>76</v>
      </c>
      <c r="F607">
        <f t="shared" si="58"/>
        <v>7.9473684210526319</v>
      </c>
      <c r="G607">
        <f>_xlfn.CEILING.MATH($F607)</f>
        <v>8</v>
      </c>
      <c r="H607">
        <f t="shared" si="59"/>
        <v>-0.65789473684210176</v>
      </c>
    </row>
    <row r="608" spans="1:8" x14ac:dyDescent="0.3">
      <c r="A608">
        <v>605</v>
      </c>
      <c r="B608">
        <f t="shared" si="54"/>
        <v>75.625</v>
      </c>
      <c r="C608">
        <f t="shared" si="55"/>
        <v>75</v>
      </c>
      <c r="D608">
        <f t="shared" si="56"/>
        <v>76.5</v>
      </c>
      <c r="E608">
        <f t="shared" si="57"/>
        <v>76</v>
      </c>
      <c r="F608">
        <f t="shared" si="58"/>
        <v>7.9605263157894735</v>
      </c>
      <c r="G608">
        <f>_xlfn.CEILING.MATH($F608)</f>
        <v>8</v>
      </c>
      <c r="H608">
        <f t="shared" si="59"/>
        <v>-0.49342105263158187</v>
      </c>
    </row>
    <row r="609" spans="1:8" x14ac:dyDescent="0.3">
      <c r="A609">
        <v>606</v>
      </c>
      <c r="B609">
        <f t="shared" si="54"/>
        <v>75.75</v>
      </c>
      <c r="C609">
        <f t="shared" si="55"/>
        <v>75</v>
      </c>
      <c r="D609">
        <f t="shared" si="56"/>
        <v>76.625</v>
      </c>
      <c r="E609">
        <f t="shared" si="57"/>
        <v>76</v>
      </c>
      <c r="F609">
        <f t="shared" si="58"/>
        <v>7.9736842105263159</v>
      </c>
      <c r="G609">
        <f>_xlfn.CEILING.MATH($F609)</f>
        <v>8</v>
      </c>
      <c r="H609">
        <f t="shared" si="59"/>
        <v>-0.32894736842105088</v>
      </c>
    </row>
    <row r="610" spans="1:8" x14ac:dyDescent="0.3">
      <c r="A610">
        <v>607</v>
      </c>
      <c r="B610">
        <f t="shared" si="54"/>
        <v>75.875</v>
      </c>
      <c r="C610">
        <f t="shared" si="55"/>
        <v>75</v>
      </c>
      <c r="D610">
        <f t="shared" si="56"/>
        <v>76.75</v>
      </c>
      <c r="E610">
        <f t="shared" si="57"/>
        <v>76</v>
      </c>
      <c r="F610">
        <f t="shared" si="58"/>
        <v>7.9868421052631575</v>
      </c>
      <c r="G610">
        <f>_xlfn.CEILING.MATH($F610)</f>
        <v>8</v>
      </c>
      <c r="H610">
        <f t="shared" si="59"/>
        <v>-0.16447368421053099</v>
      </c>
    </row>
    <row r="611" spans="1:8" x14ac:dyDescent="0.3">
      <c r="A611">
        <v>608</v>
      </c>
      <c r="B611">
        <f t="shared" si="54"/>
        <v>76</v>
      </c>
      <c r="C611">
        <f t="shared" si="55"/>
        <v>76</v>
      </c>
      <c r="D611">
        <f t="shared" si="56"/>
        <v>76.875</v>
      </c>
      <c r="E611">
        <f t="shared" si="57"/>
        <v>76</v>
      </c>
      <c r="F611">
        <f t="shared" si="58"/>
        <v>8</v>
      </c>
      <c r="G611">
        <f>_xlfn.CEILING.MATH($F611)</f>
        <v>8</v>
      </c>
      <c r="H611">
        <f t="shared" si="59"/>
        <v>0</v>
      </c>
    </row>
    <row r="612" spans="1:8" x14ac:dyDescent="0.3">
      <c r="A612">
        <v>609</v>
      </c>
      <c r="B612">
        <f t="shared" si="54"/>
        <v>76.125</v>
      </c>
      <c r="C612">
        <f t="shared" si="55"/>
        <v>76</v>
      </c>
      <c r="D612">
        <f t="shared" si="56"/>
        <v>77</v>
      </c>
      <c r="E612">
        <f t="shared" si="57"/>
        <v>77</v>
      </c>
      <c r="F612">
        <f t="shared" si="58"/>
        <v>7.9090909090909092</v>
      </c>
      <c r="G612">
        <f>_xlfn.CEILING.MATH($F612)</f>
        <v>8</v>
      </c>
      <c r="H612">
        <f t="shared" si="59"/>
        <v>-1.1363636363636354</v>
      </c>
    </row>
    <row r="613" spans="1:8" x14ac:dyDescent="0.3">
      <c r="A613">
        <v>610</v>
      </c>
      <c r="B613">
        <f t="shared" si="54"/>
        <v>76.25</v>
      </c>
      <c r="C613">
        <f t="shared" si="55"/>
        <v>76</v>
      </c>
      <c r="D613">
        <f t="shared" si="56"/>
        <v>77.125</v>
      </c>
      <c r="E613">
        <f t="shared" si="57"/>
        <v>77</v>
      </c>
      <c r="F613">
        <f t="shared" si="58"/>
        <v>7.9220779220779223</v>
      </c>
      <c r="G613">
        <f>_xlfn.CEILING.MATH($F613)</f>
        <v>8</v>
      </c>
      <c r="H613">
        <f t="shared" si="59"/>
        <v>-0.97402597402597157</v>
      </c>
    </row>
    <row r="614" spans="1:8" x14ac:dyDescent="0.3">
      <c r="A614">
        <v>611</v>
      </c>
      <c r="B614">
        <f t="shared" si="54"/>
        <v>76.375</v>
      </c>
      <c r="C614">
        <f t="shared" si="55"/>
        <v>76</v>
      </c>
      <c r="D614">
        <f t="shared" si="56"/>
        <v>77.25</v>
      </c>
      <c r="E614">
        <f t="shared" si="57"/>
        <v>77</v>
      </c>
      <c r="F614">
        <f t="shared" si="58"/>
        <v>7.9350649350649354</v>
      </c>
      <c r="G614">
        <f>_xlfn.CEILING.MATH($F614)</f>
        <v>8</v>
      </c>
      <c r="H614">
        <f t="shared" si="59"/>
        <v>-0.8116883116883078</v>
      </c>
    </row>
    <row r="615" spans="1:8" x14ac:dyDescent="0.3">
      <c r="A615">
        <v>612</v>
      </c>
      <c r="B615">
        <f t="shared" si="54"/>
        <v>76.5</v>
      </c>
      <c r="C615">
        <f t="shared" si="55"/>
        <v>76</v>
      </c>
      <c r="D615">
        <f t="shared" si="56"/>
        <v>77.375</v>
      </c>
      <c r="E615">
        <f t="shared" si="57"/>
        <v>77</v>
      </c>
      <c r="F615">
        <f t="shared" si="58"/>
        <v>7.9480519480519485</v>
      </c>
      <c r="G615">
        <f>_xlfn.CEILING.MATH($F615)</f>
        <v>8</v>
      </c>
      <c r="H615">
        <f t="shared" si="59"/>
        <v>-0.64935064935064402</v>
      </c>
    </row>
    <row r="616" spans="1:8" x14ac:dyDescent="0.3">
      <c r="A616">
        <v>613</v>
      </c>
      <c r="B616">
        <f t="shared" si="54"/>
        <v>76.625</v>
      </c>
      <c r="C616">
        <f t="shared" si="55"/>
        <v>76</v>
      </c>
      <c r="D616">
        <f t="shared" si="56"/>
        <v>77.5</v>
      </c>
      <c r="E616">
        <f t="shared" si="57"/>
        <v>77</v>
      </c>
      <c r="F616">
        <f t="shared" si="58"/>
        <v>7.9610389610389607</v>
      </c>
      <c r="G616">
        <f>_xlfn.CEILING.MATH($F616)</f>
        <v>8</v>
      </c>
      <c r="H616">
        <f t="shared" si="59"/>
        <v>-0.48701298701299134</v>
      </c>
    </row>
    <row r="617" spans="1:8" x14ac:dyDescent="0.3">
      <c r="A617">
        <v>614</v>
      </c>
      <c r="B617">
        <f t="shared" si="54"/>
        <v>76.75</v>
      </c>
      <c r="C617">
        <f t="shared" si="55"/>
        <v>76</v>
      </c>
      <c r="D617">
        <f t="shared" si="56"/>
        <v>77.625</v>
      </c>
      <c r="E617">
        <f t="shared" si="57"/>
        <v>77</v>
      </c>
      <c r="F617">
        <f t="shared" si="58"/>
        <v>7.9740259740259738</v>
      </c>
      <c r="G617">
        <f>_xlfn.CEILING.MATH($F617)</f>
        <v>8</v>
      </c>
      <c r="H617">
        <f t="shared" si="59"/>
        <v>-0.32467532467532756</v>
      </c>
    </row>
    <row r="618" spans="1:8" x14ac:dyDescent="0.3">
      <c r="A618">
        <v>615</v>
      </c>
      <c r="B618">
        <f t="shared" si="54"/>
        <v>76.875</v>
      </c>
      <c r="C618">
        <f t="shared" si="55"/>
        <v>76</v>
      </c>
      <c r="D618">
        <f t="shared" si="56"/>
        <v>77.75</v>
      </c>
      <c r="E618">
        <f t="shared" si="57"/>
        <v>77</v>
      </c>
      <c r="F618">
        <f t="shared" si="58"/>
        <v>7.9870129870129869</v>
      </c>
      <c r="G618">
        <f>_xlfn.CEILING.MATH($F618)</f>
        <v>8</v>
      </c>
      <c r="H618">
        <f t="shared" si="59"/>
        <v>-0.16233766233766378</v>
      </c>
    </row>
    <row r="619" spans="1:8" x14ac:dyDescent="0.3">
      <c r="A619">
        <v>616</v>
      </c>
      <c r="B619">
        <f t="shared" si="54"/>
        <v>77</v>
      </c>
      <c r="C619">
        <f t="shared" si="55"/>
        <v>77</v>
      </c>
      <c r="D619">
        <f t="shared" si="56"/>
        <v>77.875</v>
      </c>
      <c r="E619">
        <f t="shared" si="57"/>
        <v>77</v>
      </c>
      <c r="F619">
        <f t="shared" si="58"/>
        <v>8</v>
      </c>
      <c r="G619">
        <f>_xlfn.CEILING.MATH($F619)</f>
        <v>8</v>
      </c>
      <c r="H619">
        <f t="shared" si="59"/>
        <v>0</v>
      </c>
    </row>
    <row r="620" spans="1:8" x14ac:dyDescent="0.3">
      <c r="A620">
        <v>617</v>
      </c>
      <c r="B620">
        <f t="shared" si="54"/>
        <v>77.125</v>
      </c>
      <c r="C620">
        <f t="shared" si="55"/>
        <v>77</v>
      </c>
      <c r="D620">
        <f t="shared" si="56"/>
        <v>78</v>
      </c>
      <c r="E620">
        <f t="shared" si="57"/>
        <v>78</v>
      </c>
      <c r="F620">
        <f t="shared" si="58"/>
        <v>7.9102564102564106</v>
      </c>
      <c r="G620">
        <f>_xlfn.CEILING.MATH($F620)</f>
        <v>8</v>
      </c>
      <c r="H620">
        <f t="shared" si="59"/>
        <v>-1.1217948717948678</v>
      </c>
    </row>
    <row r="621" spans="1:8" x14ac:dyDescent="0.3">
      <c r="A621">
        <v>618</v>
      </c>
      <c r="B621">
        <f t="shared" si="54"/>
        <v>77.25</v>
      </c>
      <c r="C621">
        <f t="shared" si="55"/>
        <v>77</v>
      </c>
      <c r="D621">
        <f t="shared" si="56"/>
        <v>78.125</v>
      </c>
      <c r="E621">
        <f t="shared" si="57"/>
        <v>78</v>
      </c>
      <c r="F621">
        <f t="shared" si="58"/>
        <v>7.9230769230769234</v>
      </c>
      <c r="G621">
        <f>_xlfn.CEILING.MATH($F621)</f>
        <v>8</v>
      </c>
      <c r="H621">
        <f t="shared" si="59"/>
        <v>-0.96153846153845812</v>
      </c>
    </row>
    <row r="622" spans="1:8" x14ac:dyDescent="0.3">
      <c r="A622">
        <v>619</v>
      </c>
      <c r="B622">
        <f t="shared" si="54"/>
        <v>77.375</v>
      </c>
      <c r="C622">
        <f t="shared" si="55"/>
        <v>77</v>
      </c>
      <c r="D622">
        <f t="shared" si="56"/>
        <v>78.25</v>
      </c>
      <c r="E622">
        <f t="shared" si="57"/>
        <v>78</v>
      </c>
      <c r="F622">
        <f t="shared" si="58"/>
        <v>7.9358974358974361</v>
      </c>
      <c r="G622">
        <f>_xlfn.CEILING.MATH($F622)</f>
        <v>8</v>
      </c>
      <c r="H622">
        <f t="shared" si="59"/>
        <v>-0.80128205128204844</v>
      </c>
    </row>
    <row r="623" spans="1:8" x14ac:dyDescent="0.3">
      <c r="A623">
        <v>620</v>
      </c>
      <c r="B623">
        <f t="shared" si="54"/>
        <v>77.5</v>
      </c>
      <c r="C623">
        <f t="shared" si="55"/>
        <v>77</v>
      </c>
      <c r="D623">
        <f t="shared" si="56"/>
        <v>78.375</v>
      </c>
      <c r="E623">
        <f t="shared" si="57"/>
        <v>78</v>
      </c>
      <c r="F623">
        <f t="shared" si="58"/>
        <v>7.9487179487179489</v>
      </c>
      <c r="G623">
        <f>_xlfn.CEILING.MATH($F623)</f>
        <v>8</v>
      </c>
      <c r="H623">
        <f t="shared" si="59"/>
        <v>-0.64102564102563875</v>
      </c>
    </row>
    <row r="624" spans="1:8" x14ac:dyDescent="0.3">
      <c r="A624">
        <v>621</v>
      </c>
      <c r="B624">
        <f t="shared" si="54"/>
        <v>77.625</v>
      </c>
      <c r="C624">
        <f t="shared" si="55"/>
        <v>77</v>
      </c>
      <c r="D624">
        <f t="shared" si="56"/>
        <v>78.5</v>
      </c>
      <c r="E624">
        <f t="shared" si="57"/>
        <v>78</v>
      </c>
      <c r="F624">
        <f t="shared" si="58"/>
        <v>7.9615384615384617</v>
      </c>
      <c r="G624">
        <f>_xlfn.CEILING.MATH($F624)</f>
        <v>8</v>
      </c>
      <c r="H624">
        <f t="shared" si="59"/>
        <v>-0.48076923076922906</v>
      </c>
    </row>
    <row r="625" spans="1:8" x14ac:dyDescent="0.3">
      <c r="A625">
        <v>622</v>
      </c>
      <c r="B625">
        <f t="shared" si="54"/>
        <v>77.75</v>
      </c>
      <c r="C625">
        <f t="shared" si="55"/>
        <v>77</v>
      </c>
      <c r="D625">
        <f t="shared" si="56"/>
        <v>78.625</v>
      </c>
      <c r="E625">
        <f t="shared" si="57"/>
        <v>78</v>
      </c>
      <c r="F625">
        <f t="shared" si="58"/>
        <v>7.9743589743589745</v>
      </c>
      <c r="G625">
        <f>_xlfn.CEILING.MATH($F625)</f>
        <v>8</v>
      </c>
      <c r="H625">
        <f t="shared" si="59"/>
        <v>-0.32051282051281937</v>
      </c>
    </row>
    <row r="626" spans="1:8" x14ac:dyDescent="0.3">
      <c r="A626">
        <v>623</v>
      </c>
      <c r="B626">
        <f t="shared" si="54"/>
        <v>77.875</v>
      </c>
      <c r="C626">
        <f t="shared" si="55"/>
        <v>77</v>
      </c>
      <c r="D626">
        <f t="shared" si="56"/>
        <v>78.75</v>
      </c>
      <c r="E626">
        <f t="shared" si="57"/>
        <v>78</v>
      </c>
      <c r="F626">
        <f t="shared" si="58"/>
        <v>7.9871794871794872</v>
      </c>
      <c r="G626">
        <f>_xlfn.CEILING.MATH($F626)</f>
        <v>8</v>
      </c>
      <c r="H626">
        <f t="shared" si="59"/>
        <v>-0.16025641025640969</v>
      </c>
    </row>
    <row r="627" spans="1:8" x14ac:dyDescent="0.3">
      <c r="A627">
        <v>624</v>
      </c>
      <c r="B627">
        <f t="shared" si="54"/>
        <v>78</v>
      </c>
      <c r="C627">
        <f t="shared" si="55"/>
        <v>78</v>
      </c>
      <c r="D627">
        <f t="shared" si="56"/>
        <v>78.875</v>
      </c>
      <c r="E627">
        <f t="shared" si="57"/>
        <v>78</v>
      </c>
      <c r="F627">
        <f t="shared" si="58"/>
        <v>8</v>
      </c>
      <c r="G627">
        <f>_xlfn.CEILING.MATH($F627)</f>
        <v>8</v>
      </c>
      <c r="H627">
        <f t="shared" si="59"/>
        <v>0</v>
      </c>
    </row>
    <row r="628" spans="1:8" x14ac:dyDescent="0.3">
      <c r="A628">
        <v>625</v>
      </c>
      <c r="B628">
        <f t="shared" si="54"/>
        <v>78.125</v>
      </c>
      <c r="C628">
        <f t="shared" si="55"/>
        <v>78</v>
      </c>
      <c r="D628">
        <f t="shared" si="56"/>
        <v>79</v>
      </c>
      <c r="E628">
        <f t="shared" si="57"/>
        <v>79</v>
      </c>
      <c r="F628">
        <f t="shared" si="58"/>
        <v>7.9113924050632916</v>
      </c>
      <c r="G628">
        <f>_xlfn.CEILING.MATH($F628)</f>
        <v>8</v>
      </c>
      <c r="H628">
        <f t="shared" si="59"/>
        <v>-1.1075949367088556</v>
      </c>
    </row>
    <row r="629" spans="1:8" x14ac:dyDescent="0.3">
      <c r="A629">
        <v>626</v>
      </c>
      <c r="B629">
        <f t="shared" si="54"/>
        <v>78.25</v>
      </c>
      <c r="C629">
        <f t="shared" si="55"/>
        <v>78</v>
      </c>
      <c r="D629">
        <f t="shared" si="56"/>
        <v>79.125</v>
      </c>
      <c r="E629">
        <f t="shared" si="57"/>
        <v>79</v>
      </c>
      <c r="F629">
        <f t="shared" si="58"/>
        <v>7.924050632911392</v>
      </c>
      <c r="G629">
        <f>_xlfn.CEILING.MATH($F629)</f>
        <v>8</v>
      </c>
      <c r="H629">
        <f t="shared" si="59"/>
        <v>-0.9493670886076</v>
      </c>
    </row>
    <row r="630" spans="1:8" x14ac:dyDescent="0.3">
      <c r="A630">
        <v>627</v>
      </c>
      <c r="B630">
        <f t="shared" si="54"/>
        <v>78.375</v>
      </c>
      <c r="C630">
        <f t="shared" si="55"/>
        <v>78</v>
      </c>
      <c r="D630">
        <f t="shared" si="56"/>
        <v>79.25</v>
      </c>
      <c r="E630">
        <f t="shared" si="57"/>
        <v>79</v>
      </c>
      <c r="F630">
        <f t="shared" si="58"/>
        <v>7.9367088607594933</v>
      </c>
      <c r="G630">
        <f>_xlfn.CEILING.MATH($F630)</f>
        <v>8</v>
      </c>
      <c r="H630">
        <f t="shared" si="59"/>
        <v>-0.79113924050633333</v>
      </c>
    </row>
    <row r="631" spans="1:8" x14ac:dyDescent="0.3">
      <c r="A631">
        <v>628</v>
      </c>
      <c r="B631">
        <f t="shared" si="54"/>
        <v>78.5</v>
      </c>
      <c r="C631">
        <f t="shared" si="55"/>
        <v>78</v>
      </c>
      <c r="D631">
        <f t="shared" si="56"/>
        <v>79.375</v>
      </c>
      <c r="E631">
        <f t="shared" si="57"/>
        <v>79</v>
      </c>
      <c r="F631">
        <f t="shared" si="58"/>
        <v>7.9493670886075947</v>
      </c>
      <c r="G631">
        <f>_xlfn.CEILING.MATH($F631)</f>
        <v>8</v>
      </c>
      <c r="H631">
        <f t="shared" si="59"/>
        <v>-0.63291139240506666</v>
      </c>
    </row>
    <row r="632" spans="1:8" x14ac:dyDescent="0.3">
      <c r="A632">
        <v>629</v>
      </c>
      <c r="B632">
        <f t="shared" si="54"/>
        <v>78.625</v>
      </c>
      <c r="C632">
        <f t="shared" si="55"/>
        <v>78</v>
      </c>
      <c r="D632">
        <f t="shared" si="56"/>
        <v>79.5</v>
      </c>
      <c r="E632">
        <f t="shared" si="57"/>
        <v>79</v>
      </c>
      <c r="F632">
        <f t="shared" si="58"/>
        <v>7.962025316455696</v>
      </c>
      <c r="G632">
        <f>_xlfn.CEILING.MATH($F632)</f>
        <v>8</v>
      </c>
      <c r="H632">
        <f t="shared" si="59"/>
        <v>-0.4746835443038</v>
      </c>
    </row>
    <row r="633" spans="1:8" x14ac:dyDescent="0.3">
      <c r="A633">
        <v>630</v>
      </c>
      <c r="B633">
        <f t="shared" si="54"/>
        <v>78.75</v>
      </c>
      <c r="C633">
        <f t="shared" si="55"/>
        <v>78</v>
      </c>
      <c r="D633">
        <f t="shared" si="56"/>
        <v>79.625</v>
      </c>
      <c r="E633">
        <f t="shared" si="57"/>
        <v>79</v>
      </c>
      <c r="F633">
        <f t="shared" si="58"/>
        <v>7.9746835443037973</v>
      </c>
      <c r="G633">
        <f>_xlfn.CEILING.MATH($F633)</f>
        <v>8</v>
      </c>
      <c r="H633">
        <f t="shared" si="59"/>
        <v>-0.31645569620253333</v>
      </c>
    </row>
    <row r="634" spans="1:8" x14ac:dyDescent="0.3">
      <c r="A634">
        <v>631</v>
      </c>
      <c r="B634">
        <f t="shared" si="54"/>
        <v>78.875</v>
      </c>
      <c r="C634">
        <f t="shared" si="55"/>
        <v>78</v>
      </c>
      <c r="D634">
        <f t="shared" si="56"/>
        <v>79.75</v>
      </c>
      <c r="E634">
        <f t="shared" si="57"/>
        <v>79</v>
      </c>
      <c r="F634">
        <f t="shared" si="58"/>
        <v>7.9873417721518987</v>
      </c>
      <c r="G634">
        <f>_xlfn.CEILING.MATH($F634)</f>
        <v>8</v>
      </c>
      <c r="H634">
        <f t="shared" si="59"/>
        <v>-0.15822784810126667</v>
      </c>
    </row>
    <row r="635" spans="1:8" x14ac:dyDescent="0.3">
      <c r="A635">
        <v>632</v>
      </c>
      <c r="B635">
        <f t="shared" si="54"/>
        <v>79</v>
      </c>
      <c r="C635">
        <f t="shared" si="55"/>
        <v>79</v>
      </c>
      <c r="D635">
        <f t="shared" si="56"/>
        <v>79.875</v>
      </c>
      <c r="E635">
        <f t="shared" si="57"/>
        <v>79</v>
      </c>
      <c r="F635">
        <f t="shared" si="58"/>
        <v>8</v>
      </c>
      <c r="G635">
        <f>_xlfn.CEILING.MATH($F635)</f>
        <v>8</v>
      </c>
      <c r="H635">
        <f t="shared" si="59"/>
        <v>0</v>
      </c>
    </row>
    <row r="636" spans="1:8" x14ac:dyDescent="0.3">
      <c r="A636">
        <v>633</v>
      </c>
      <c r="B636">
        <f t="shared" si="54"/>
        <v>79.125</v>
      </c>
      <c r="C636">
        <f t="shared" si="55"/>
        <v>79</v>
      </c>
      <c r="D636">
        <f t="shared" si="56"/>
        <v>80</v>
      </c>
      <c r="E636">
        <f t="shared" si="57"/>
        <v>80</v>
      </c>
      <c r="F636">
        <f t="shared" si="58"/>
        <v>7.9124999999999996</v>
      </c>
      <c r="G636">
        <f>_xlfn.CEILING.MATH($F636)</f>
        <v>8</v>
      </c>
      <c r="H636">
        <f t="shared" si="59"/>
        <v>-1.0937500000000044</v>
      </c>
    </row>
    <row r="637" spans="1:8" x14ac:dyDescent="0.3">
      <c r="A637">
        <v>634</v>
      </c>
      <c r="B637">
        <f t="shared" si="54"/>
        <v>79.25</v>
      </c>
      <c r="C637">
        <f t="shared" si="55"/>
        <v>79</v>
      </c>
      <c r="D637">
        <f t="shared" si="56"/>
        <v>80.125</v>
      </c>
      <c r="E637">
        <f t="shared" si="57"/>
        <v>80</v>
      </c>
      <c r="F637">
        <f t="shared" si="58"/>
        <v>7.9249999999999998</v>
      </c>
      <c r="G637">
        <f>_xlfn.CEILING.MATH($F637)</f>
        <v>8</v>
      </c>
      <c r="H637">
        <f t="shared" si="59"/>
        <v>-0.93750000000000222</v>
      </c>
    </row>
    <row r="638" spans="1:8" x14ac:dyDescent="0.3">
      <c r="A638">
        <v>635</v>
      </c>
      <c r="B638">
        <f t="shared" si="54"/>
        <v>79.375</v>
      </c>
      <c r="C638">
        <f t="shared" si="55"/>
        <v>79</v>
      </c>
      <c r="D638">
        <f t="shared" si="56"/>
        <v>80.25</v>
      </c>
      <c r="E638">
        <f t="shared" si="57"/>
        <v>80</v>
      </c>
      <c r="F638">
        <f t="shared" si="58"/>
        <v>7.9375</v>
      </c>
      <c r="G638">
        <f>_xlfn.CEILING.MATH($F638)</f>
        <v>8</v>
      </c>
      <c r="H638">
        <f t="shared" si="59"/>
        <v>-0.78125</v>
      </c>
    </row>
    <row r="639" spans="1:8" x14ac:dyDescent="0.3">
      <c r="A639">
        <v>636</v>
      </c>
      <c r="B639">
        <f t="shared" si="54"/>
        <v>79.5</v>
      </c>
      <c r="C639">
        <f t="shared" si="55"/>
        <v>79</v>
      </c>
      <c r="D639">
        <f t="shared" si="56"/>
        <v>80.375</v>
      </c>
      <c r="E639">
        <f t="shared" si="57"/>
        <v>80</v>
      </c>
      <c r="F639">
        <f t="shared" si="58"/>
        <v>7.95</v>
      </c>
      <c r="G639">
        <f>_xlfn.CEILING.MATH($F639)</f>
        <v>8</v>
      </c>
      <c r="H639">
        <f t="shared" si="59"/>
        <v>-0.62499999999999778</v>
      </c>
    </row>
    <row r="640" spans="1:8" x14ac:dyDescent="0.3">
      <c r="A640">
        <v>637</v>
      </c>
      <c r="B640">
        <f t="shared" si="54"/>
        <v>79.625</v>
      </c>
      <c r="C640">
        <f t="shared" si="55"/>
        <v>79</v>
      </c>
      <c r="D640">
        <f t="shared" si="56"/>
        <v>80.5</v>
      </c>
      <c r="E640">
        <f t="shared" si="57"/>
        <v>80</v>
      </c>
      <c r="F640">
        <f t="shared" si="58"/>
        <v>7.9625000000000004</v>
      </c>
      <c r="G640">
        <f>_xlfn.CEILING.MATH($F640)</f>
        <v>8</v>
      </c>
      <c r="H640">
        <f t="shared" si="59"/>
        <v>-0.46874999999999556</v>
      </c>
    </row>
    <row r="641" spans="1:8" x14ac:dyDescent="0.3">
      <c r="A641">
        <v>638</v>
      </c>
      <c r="B641">
        <f t="shared" si="54"/>
        <v>79.75</v>
      </c>
      <c r="C641">
        <f t="shared" si="55"/>
        <v>79</v>
      </c>
      <c r="D641">
        <f t="shared" si="56"/>
        <v>80.625</v>
      </c>
      <c r="E641">
        <f t="shared" si="57"/>
        <v>80</v>
      </c>
      <c r="F641">
        <f t="shared" si="58"/>
        <v>7.9749999999999996</v>
      </c>
      <c r="G641">
        <f>_xlfn.CEILING.MATH($F641)</f>
        <v>8</v>
      </c>
      <c r="H641">
        <f t="shared" si="59"/>
        <v>-0.31250000000000444</v>
      </c>
    </row>
    <row r="642" spans="1:8" x14ac:dyDescent="0.3">
      <c r="A642">
        <v>639</v>
      </c>
      <c r="B642">
        <f t="shared" si="54"/>
        <v>79.875</v>
      </c>
      <c r="C642">
        <f t="shared" si="55"/>
        <v>79</v>
      </c>
      <c r="D642">
        <f t="shared" si="56"/>
        <v>80.75</v>
      </c>
      <c r="E642">
        <f t="shared" si="57"/>
        <v>80</v>
      </c>
      <c r="F642">
        <f t="shared" si="58"/>
        <v>7.9874999999999998</v>
      </c>
      <c r="G642">
        <f>_xlfn.CEILING.MATH($F642)</f>
        <v>8</v>
      </c>
      <c r="H642">
        <f t="shared" si="59"/>
        <v>-0.15625000000000222</v>
      </c>
    </row>
    <row r="643" spans="1:8" x14ac:dyDescent="0.3">
      <c r="A643">
        <v>640</v>
      </c>
      <c r="B643">
        <f t="shared" si="54"/>
        <v>80</v>
      </c>
      <c r="C643">
        <f t="shared" si="55"/>
        <v>80</v>
      </c>
      <c r="D643">
        <f t="shared" si="56"/>
        <v>80.875</v>
      </c>
      <c r="E643">
        <f t="shared" si="57"/>
        <v>80</v>
      </c>
      <c r="F643">
        <f t="shared" si="58"/>
        <v>8</v>
      </c>
      <c r="G643">
        <f>_xlfn.CEILING.MATH($F643)</f>
        <v>8</v>
      </c>
      <c r="H643">
        <f t="shared" si="59"/>
        <v>0</v>
      </c>
    </row>
    <row r="644" spans="1:8" x14ac:dyDescent="0.3">
      <c r="A644">
        <v>641</v>
      </c>
      <c r="B644">
        <f t="shared" si="54"/>
        <v>80.125</v>
      </c>
      <c r="C644">
        <f t="shared" si="55"/>
        <v>80</v>
      </c>
      <c r="D644">
        <f t="shared" si="56"/>
        <v>81</v>
      </c>
      <c r="E644">
        <f t="shared" si="57"/>
        <v>81</v>
      </c>
      <c r="F644">
        <f t="shared" si="58"/>
        <v>7.9135802469135799</v>
      </c>
      <c r="G644">
        <f>_xlfn.CEILING.MATH($F644)</f>
        <v>8</v>
      </c>
      <c r="H644">
        <f t="shared" si="59"/>
        <v>-1.0802469135802517</v>
      </c>
    </row>
    <row r="645" spans="1:8" x14ac:dyDescent="0.3">
      <c r="A645">
        <v>642</v>
      </c>
      <c r="B645">
        <f t="shared" si="54"/>
        <v>80.25</v>
      </c>
      <c r="C645">
        <f t="shared" si="55"/>
        <v>80</v>
      </c>
      <c r="D645">
        <f t="shared" si="56"/>
        <v>81.125</v>
      </c>
      <c r="E645">
        <f t="shared" si="57"/>
        <v>81</v>
      </c>
      <c r="F645">
        <f t="shared" si="58"/>
        <v>7.9259259259259256</v>
      </c>
      <c r="G645">
        <f>_xlfn.CEILING.MATH($F645)</f>
        <v>8</v>
      </c>
      <c r="H645">
        <f t="shared" si="59"/>
        <v>-0.92592592592593004</v>
      </c>
    </row>
    <row r="646" spans="1:8" x14ac:dyDescent="0.3">
      <c r="A646">
        <v>643</v>
      </c>
      <c r="B646">
        <f t="shared" ref="B646:B699" si="60">$A646/8</f>
        <v>80.375</v>
      </c>
      <c r="C646">
        <f t="shared" ref="C646:C699" si="61">_xlfn.FLOOR.MATH($B646)</f>
        <v>80</v>
      </c>
      <c r="D646">
        <f t="shared" ref="D646:D699" si="62">($A646+7)/8</f>
        <v>81.25</v>
      </c>
      <c r="E646">
        <f t="shared" ref="E646:E699" si="63">_xlfn.FLOOR.MATH($D646)</f>
        <v>81</v>
      </c>
      <c r="F646">
        <f t="shared" ref="F646:F699" si="64">$A646/$E646</f>
        <v>7.9382716049382713</v>
      </c>
      <c r="G646">
        <f>_xlfn.CEILING.MATH($F646)</f>
        <v>8</v>
      </c>
      <c r="H646">
        <f t="shared" ref="H646:H699" si="65">($F646/8-1)*100</f>
        <v>-0.77160493827160836</v>
      </c>
    </row>
    <row r="647" spans="1:8" x14ac:dyDescent="0.3">
      <c r="A647">
        <v>644</v>
      </c>
      <c r="B647">
        <f t="shared" si="60"/>
        <v>80.5</v>
      </c>
      <c r="C647">
        <f t="shared" si="61"/>
        <v>80</v>
      </c>
      <c r="D647">
        <f t="shared" si="62"/>
        <v>81.375</v>
      </c>
      <c r="E647">
        <f t="shared" si="63"/>
        <v>81</v>
      </c>
      <c r="F647">
        <f t="shared" si="64"/>
        <v>7.9506172839506171</v>
      </c>
      <c r="G647">
        <f>_xlfn.CEILING.MATH($F647)</f>
        <v>8</v>
      </c>
      <c r="H647">
        <f t="shared" si="65"/>
        <v>-0.61728395061728669</v>
      </c>
    </row>
    <row r="648" spans="1:8" x14ac:dyDescent="0.3">
      <c r="A648">
        <v>645</v>
      </c>
      <c r="B648">
        <f t="shared" si="60"/>
        <v>80.625</v>
      </c>
      <c r="C648">
        <f t="shared" si="61"/>
        <v>80</v>
      </c>
      <c r="D648">
        <f t="shared" si="62"/>
        <v>81.5</v>
      </c>
      <c r="E648">
        <f t="shared" si="63"/>
        <v>81</v>
      </c>
      <c r="F648">
        <f t="shared" si="64"/>
        <v>7.9629629629629628</v>
      </c>
      <c r="G648">
        <f>_xlfn.CEILING.MATH($F648)</f>
        <v>8</v>
      </c>
      <c r="H648">
        <f t="shared" si="65"/>
        <v>-0.46296296296296502</v>
      </c>
    </row>
    <row r="649" spans="1:8" x14ac:dyDescent="0.3">
      <c r="A649">
        <v>646</v>
      </c>
      <c r="B649">
        <f t="shared" si="60"/>
        <v>80.75</v>
      </c>
      <c r="C649">
        <f t="shared" si="61"/>
        <v>80</v>
      </c>
      <c r="D649">
        <f t="shared" si="62"/>
        <v>81.625</v>
      </c>
      <c r="E649">
        <f t="shared" si="63"/>
        <v>81</v>
      </c>
      <c r="F649">
        <f t="shared" si="64"/>
        <v>7.9753086419753085</v>
      </c>
      <c r="G649">
        <f>_xlfn.CEILING.MATH($F649)</f>
        <v>8</v>
      </c>
      <c r="H649">
        <f t="shared" si="65"/>
        <v>-0.30864197530864335</v>
      </c>
    </row>
    <row r="650" spans="1:8" x14ac:dyDescent="0.3">
      <c r="A650">
        <v>647</v>
      </c>
      <c r="B650">
        <f t="shared" si="60"/>
        <v>80.875</v>
      </c>
      <c r="C650">
        <f t="shared" si="61"/>
        <v>80</v>
      </c>
      <c r="D650">
        <f t="shared" si="62"/>
        <v>81.75</v>
      </c>
      <c r="E650">
        <f t="shared" si="63"/>
        <v>81</v>
      </c>
      <c r="F650">
        <f t="shared" si="64"/>
        <v>7.9876543209876543</v>
      </c>
      <c r="G650">
        <f>_xlfn.CEILING.MATH($F650)</f>
        <v>8</v>
      </c>
      <c r="H650">
        <f t="shared" si="65"/>
        <v>-0.15432098765432167</v>
      </c>
    </row>
    <row r="651" spans="1:8" x14ac:dyDescent="0.3">
      <c r="A651">
        <v>648</v>
      </c>
      <c r="B651">
        <f t="shared" si="60"/>
        <v>81</v>
      </c>
      <c r="C651">
        <f t="shared" si="61"/>
        <v>81</v>
      </c>
      <c r="D651">
        <f t="shared" si="62"/>
        <v>81.875</v>
      </c>
      <c r="E651">
        <f t="shared" si="63"/>
        <v>81</v>
      </c>
      <c r="F651">
        <f t="shared" si="64"/>
        <v>8</v>
      </c>
      <c r="G651">
        <f>_xlfn.CEILING.MATH($F651)</f>
        <v>8</v>
      </c>
      <c r="H651">
        <f t="shared" si="65"/>
        <v>0</v>
      </c>
    </row>
    <row r="652" spans="1:8" x14ac:dyDescent="0.3">
      <c r="A652">
        <v>649</v>
      </c>
      <c r="B652">
        <f t="shared" si="60"/>
        <v>81.125</v>
      </c>
      <c r="C652">
        <f t="shared" si="61"/>
        <v>81</v>
      </c>
      <c r="D652">
        <f t="shared" si="62"/>
        <v>82</v>
      </c>
      <c r="E652">
        <f t="shared" si="63"/>
        <v>82</v>
      </c>
      <c r="F652">
        <f t="shared" si="64"/>
        <v>7.9146341463414638</v>
      </c>
      <c r="G652">
        <f>_xlfn.CEILING.MATH($F652)</f>
        <v>8</v>
      </c>
      <c r="H652">
        <f t="shared" si="65"/>
        <v>-1.0670731707317027</v>
      </c>
    </row>
    <row r="653" spans="1:8" x14ac:dyDescent="0.3">
      <c r="A653">
        <v>650</v>
      </c>
      <c r="B653">
        <f t="shared" si="60"/>
        <v>81.25</v>
      </c>
      <c r="C653">
        <f t="shared" si="61"/>
        <v>81</v>
      </c>
      <c r="D653">
        <f t="shared" si="62"/>
        <v>82.125</v>
      </c>
      <c r="E653">
        <f t="shared" si="63"/>
        <v>82</v>
      </c>
      <c r="F653">
        <f t="shared" si="64"/>
        <v>7.9268292682926829</v>
      </c>
      <c r="G653">
        <f>_xlfn.CEILING.MATH($F653)</f>
        <v>8</v>
      </c>
      <c r="H653">
        <f t="shared" si="65"/>
        <v>-0.91463414634146423</v>
      </c>
    </row>
    <row r="654" spans="1:8" x14ac:dyDescent="0.3">
      <c r="A654">
        <v>651</v>
      </c>
      <c r="B654">
        <f t="shared" si="60"/>
        <v>81.375</v>
      </c>
      <c r="C654">
        <f t="shared" si="61"/>
        <v>81</v>
      </c>
      <c r="D654">
        <f t="shared" si="62"/>
        <v>82.25</v>
      </c>
      <c r="E654">
        <f t="shared" si="63"/>
        <v>82</v>
      </c>
      <c r="F654">
        <f t="shared" si="64"/>
        <v>7.9390243902439028</v>
      </c>
      <c r="G654">
        <f>_xlfn.CEILING.MATH($F654)</f>
        <v>8</v>
      </c>
      <c r="H654">
        <f t="shared" si="65"/>
        <v>-0.76219512195121464</v>
      </c>
    </row>
    <row r="655" spans="1:8" x14ac:dyDescent="0.3">
      <c r="A655">
        <v>652</v>
      </c>
      <c r="B655">
        <f t="shared" si="60"/>
        <v>81.5</v>
      </c>
      <c r="C655">
        <f t="shared" si="61"/>
        <v>81</v>
      </c>
      <c r="D655">
        <f t="shared" si="62"/>
        <v>82.375</v>
      </c>
      <c r="E655">
        <f t="shared" si="63"/>
        <v>82</v>
      </c>
      <c r="F655">
        <f t="shared" si="64"/>
        <v>7.9512195121951219</v>
      </c>
      <c r="G655">
        <f>_xlfn.CEILING.MATH($F655)</f>
        <v>8</v>
      </c>
      <c r="H655">
        <f t="shared" si="65"/>
        <v>-0.60975609756097615</v>
      </c>
    </row>
    <row r="656" spans="1:8" x14ac:dyDescent="0.3">
      <c r="A656">
        <v>653</v>
      </c>
      <c r="B656">
        <f t="shared" si="60"/>
        <v>81.625</v>
      </c>
      <c r="C656">
        <f t="shared" si="61"/>
        <v>81</v>
      </c>
      <c r="D656">
        <f t="shared" si="62"/>
        <v>82.5</v>
      </c>
      <c r="E656">
        <f t="shared" si="63"/>
        <v>82</v>
      </c>
      <c r="F656">
        <f t="shared" si="64"/>
        <v>7.9634146341463419</v>
      </c>
      <c r="G656">
        <f>_xlfn.CEILING.MATH($F656)</f>
        <v>8</v>
      </c>
      <c r="H656">
        <f t="shared" si="65"/>
        <v>-0.45731707317072656</v>
      </c>
    </row>
    <row r="657" spans="1:8" x14ac:dyDescent="0.3">
      <c r="A657">
        <v>654</v>
      </c>
      <c r="B657">
        <f t="shared" si="60"/>
        <v>81.75</v>
      </c>
      <c r="C657">
        <f t="shared" si="61"/>
        <v>81</v>
      </c>
      <c r="D657">
        <f t="shared" si="62"/>
        <v>82.625</v>
      </c>
      <c r="E657">
        <f t="shared" si="63"/>
        <v>82</v>
      </c>
      <c r="F657">
        <f t="shared" si="64"/>
        <v>7.975609756097561</v>
      </c>
      <c r="G657">
        <f>_xlfn.CEILING.MATH($F657)</f>
        <v>8</v>
      </c>
      <c r="H657">
        <f t="shared" si="65"/>
        <v>-0.30487804878048808</v>
      </c>
    </row>
    <row r="658" spans="1:8" x14ac:dyDescent="0.3">
      <c r="A658">
        <v>655</v>
      </c>
      <c r="B658">
        <f t="shared" si="60"/>
        <v>81.875</v>
      </c>
      <c r="C658">
        <f t="shared" si="61"/>
        <v>81</v>
      </c>
      <c r="D658">
        <f t="shared" si="62"/>
        <v>82.75</v>
      </c>
      <c r="E658">
        <f t="shared" si="63"/>
        <v>82</v>
      </c>
      <c r="F658">
        <f t="shared" si="64"/>
        <v>7.9878048780487809</v>
      </c>
      <c r="G658">
        <f>_xlfn.CEILING.MATH($F658)</f>
        <v>8</v>
      </c>
      <c r="H658">
        <f t="shared" si="65"/>
        <v>-0.15243902439023849</v>
      </c>
    </row>
    <row r="659" spans="1:8" x14ac:dyDescent="0.3">
      <c r="A659">
        <v>656</v>
      </c>
      <c r="B659">
        <f t="shared" si="60"/>
        <v>82</v>
      </c>
      <c r="C659">
        <f t="shared" si="61"/>
        <v>82</v>
      </c>
      <c r="D659">
        <f t="shared" si="62"/>
        <v>82.875</v>
      </c>
      <c r="E659">
        <f t="shared" si="63"/>
        <v>82</v>
      </c>
      <c r="F659">
        <f t="shared" si="64"/>
        <v>8</v>
      </c>
      <c r="G659">
        <f>_xlfn.CEILING.MATH($F659)</f>
        <v>8</v>
      </c>
      <c r="H659">
        <f t="shared" si="65"/>
        <v>0</v>
      </c>
    </row>
    <row r="660" spans="1:8" x14ac:dyDescent="0.3">
      <c r="A660">
        <v>657</v>
      </c>
      <c r="B660">
        <f t="shared" si="60"/>
        <v>82.125</v>
      </c>
      <c r="C660">
        <f t="shared" si="61"/>
        <v>82</v>
      </c>
      <c r="D660">
        <f t="shared" si="62"/>
        <v>83</v>
      </c>
      <c r="E660">
        <f t="shared" si="63"/>
        <v>83</v>
      </c>
      <c r="F660">
        <f t="shared" si="64"/>
        <v>7.9156626506024095</v>
      </c>
      <c r="G660">
        <f>_xlfn.CEILING.MATH($F660)</f>
        <v>8</v>
      </c>
      <c r="H660">
        <f t="shared" si="65"/>
        <v>-1.0542168674698815</v>
      </c>
    </row>
    <row r="661" spans="1:8" x14ac:dyDescent="0.3">
      <c r="A661">
        <v>658</v>
      </c>
      <c r="B661">
        <f t="shared" si="60"/>
        <v>82.25</v>
      </c>
      <c r="C661">
        <f t="shared" si="61"/>
        <v>82</v>
      </c>
      <c r="D661">
        <f t="shared" si="62"/>
        <v>83.125</v>
      </c>
      <c r="E661">
        <f t="shared" si="63"/>
        <v>83</v>
      </c>
      <c r="F661">
        <f t="shared" si="64"/>
        <v>7.927710843373494</v>
      </c>
      <c r="G661">
        <f>_xlfn.CEILING.MATH($F661)</f>
        <v>8</v>
      </c>
      <c r="H661">
        <f t="shared" si="65"/>
        <v>-0.90361445783132543</v>
      </c>
    </row>
    <row r="662" spans="1:8" x14ac:dyDescent="0.3">
      <c r="A662">
        <v>659</v>
      </c>
      <c r="B662">
        <f t="shared" si="60"/>
        <v>82.375</v>
      </c>
      <c r="C662">
        <f t="shared" si="61"/>
        <v>82</v>
      </c>
      <c r="D662">
        <f t="shared" si="62"/>
        <v>83.25</v>
      </c>
      <c r="E662">
        <f t="shared" si="63"/>
        <v>83</v>
      </c>
      <c r="F662">
        <f t="shared" si="64"/>
        <v>7.9397590361445785</v>
      </c>
      <c r="G662">
        <f>_xlfn.CEILING.MATH($F662)</f>
        <v>8</v>
      </c>
      <c r="H662">
        <f t="shared" si="65"/>
        <v>-0.75301204819276935</v>
      </c>
    </row>
    <row r="663" spans="1:8" x14ac:dyDescent="0.3">
      <c r="A663">
        <v>660</v>
      </c>
      <c r="B663">
        <f t="shared" si="60"/>
        <v>82.5</v>
      </c>
      <c r="C663">
        <f t="shared" si="61"/>
        <v>82</v>
      </c>
      <c r="D663">
        <f t="shared" si="62"/>
        <v>83.375</v>
      </c>
      <c r="E663">
        <f t="shared" si="63"/>
        <v>83</v>
      </c>
      <c r="F663">
        <f t="shared" si="64"/>
        <v>7.9518072289156629</v>
      </c>
      <c r="G663">
        <f>_xlfn.CEILING.MATH($F663)</f>
        <v>8</v>
      </c>
      <c r="H663">
        <f t="shared" si="65"/>
        <v>-0.60240963855421326</v>
      </c>
    </row>
    <row r="664" spans="1:8" x14ac:dyDescent="0.3">
      <c r="A664">
        <v>661</v>
      </c>
      <c r="B664">
        <f t="shared" si="60"/>
        <v>82.625</v>
      </c>
      <c r="C664">
        <f t="shared" si="61"/>
        <v>82</v>
      </c>
      <c r="D664">
        <f t="shared" si="62"/>
        <v>83.5</v>
      </c>
      <c r="E664">
        <f t="shared" si="63"/>
        <v>83</v>
      </c>
      <c r="F664">
        <f t="shared" si="64"/>
        <v>7.9638554216867474</v>
      </c>
      <c r="G664">
        <f>_xlfn.CEILING.MATH($F664)</f>
        <v>8</v>
      </c>
      <c r="H664">
        <f t="shared" si="65"/>
        <v>-0.45180722891565717</v>
      </c>
    </row>
    <row r="665" spans="1:8" x14ac:dyDescent="0.3">
      <c r="A665">
        <v>662</v>
      </c>
      <c r="B665">
        <f t="shared" si="60"/>
        <v>82.75</v>
      </c>
      <c r="C665">
        <f t="shared" si="61"/>
        <v>82</v>
      </c>
      <c r="D665">
        <f t="shared" si="62"/>
        <v>83.625</v>
      </c>
      <c r="E665">
        <f t="shared" si="63"/>
        <v>83</v>
      </c>
      <c r="F665">
        <f t="shared" si="64"/>
        <v>7.975903614457831</v>
      </c>
      <c r="G665">
        <f>_xlfn.CEILING.MATH($F665)</f>
        <v>8</v>
      </c>
      <c r="H665">
        <f t="shared" si="65"/>
        <v>-0.30120481927711218</v>
      </c>
    </row>
    <row r="666" spans="1:8" x14ac:dyDescent="0.3">
      <c r="A666">
        <v>663</v>
      </c>
      <c r="B666">
        <f t="shared" si="60"/>
        <v>82.875</v>
      </c>
      <c r="C666">
        <f t="shared" si="61"/>
        <v>82</v>
      </c>
      <c r="D666">
        <f t="shared" si="62"/>
        <v>83.75</v>
      </c>
      <c r="E666">
        <f t="shared" si="63"/>
        <v>83</v>
      </c>
      <c r="F666">
        <f t="shared" si="64"/>
        <v>7.9879518072289155</v>
      </c>
      <c r="G666">
        <f>_xlfn.CEILING.MATH($F666)</f>
        <v>8</v>
      </c>
      <c r="H666">
        <f t="shared" si="65"/>
        <v>-0.15060240963855609</v>
      </c>
    </row>
    <row r="667" spans="1:8" x14ac:dyDescent="0.3">
      <c r="A667">
        <v>664</v>
      </c>
      <c r="B667">
        <f t="shared" si="60"/>
        <v>83</v>
      </c>
      <c r="C667">
        <f t="shared" si="61"/>
        <v>83</v>
      </c>
      <c r="D667">
        <f t="shared" si="62"/>
        <v>83.875</v>
      </c>
      <c r="E667">
        <f t="shared" si="63"/>
        <v>83</v>
      </c>
      <c r="F667">
        <f t="shared" si="64"/>
        <v>8</v>
      </c>
      <c r="G667">
        <f>_xlfn.CEILING.MATH($F667)</f>
        <v>8</v>
      </c>
      <c r="H667">
        <f t="shared" si="65"/>
        <v>0</v>
      </c>
    </row>
    <row r="668" spans="1:8" x14ac:dyDescent="0.3">
      <c r="A668">
        <v>665</v>
      </c>
      <c r="B668">
        <f t="shared" si="60"/>
        <v>83.125</v>
      </c>
      <c r="C668">
        <f t="shared" si="61"/>
        <v>83</v>
      </c>
      <c r="D668">
        <f t="shared" si="62"/>
        <v>84</v>
      </c>
      <c r="E668">
        <f t="shared" si="63"/>
        <v>84</v>
      </c>
      <c r="F668">
        <f t="shared" si="64"/>
        <v>7.916666666666667</v>
      </c>
      <c r="G668">
        <f>_xlfn.CEILING.MATH($F668)</f>
        <v>8</v>
      </c>
      <c r="H668">
        <f t="shared" si="65"/>
        <v>-1.041666666666663</v>
      </c>
    </row>
    <row r="669" spans="1:8" x14ac:dyDescent="0.3">
      <c r="A669">
        <v>666</v>
      </c>
      <c r="B669">
        <f t="shared" si="60"/>
        <v>83.25</v>
      </c>
      <c r="C669">
        <f t="shared" si="61"/>
        <v>83</v>
      </c>
      <c r="D669">
        <f t="shared" si="62"/>
        <v>84.125</v>
      </c>
      <c r="E669">
        <f t="shared" si="63"/>
        <v>84</v>
      </c>
      <c r="F669">
        <f t="shared" si="64"/>
        <v>7.9285714285714288</v>
      </c>
      <c r="G669">
        <f>_xlfn.CEILING.MATH($F669)</f>
        <v>8</v>
      </c>
      <c r="H669">
        <f t="shared" si="65"/>
        <v>-0.89285714285713969</v>
      </c>
    </row>
    <row r="670" spans="1:8" x14ac:dyDescent="0.3">
      <c r="A670">
        <v>667</v>
      </c>
      <c r="B670">
        <f t="shared" si="60"/>
        <v>83.375</v>
      </c>
      <c r="C670">
        <f t="shared" si="61"/>
        <v>83</v>
      </c>
      <c r="D670">
        <f t="shared" si="62"/>
        <v>84.25</v>
      </c>
      <c r="E670">
        <f t="shared" si="63"/>
        <v>84</v>
      </c>
      <c r="F670">
        <f t="shared" si="64"/>
        <v>7.9404761904761907</v>
      </c>
      <c r="G670">
        <f>_xlfn.CEILING.MATH($F670)</f>
        <v>8</v>
      </c>
      <c r="H670">
        <f t="shared" si="65"/>
        <v>-0.7440476190476164</v>
      </c>
    </row>
    <row r="671" spans="1:8" x14ac:dyDescent="0.3">
      <c r="A671">
        <v>668</v>
      </c>
      <c r="B671">
        <f t="shared" si="60"/>
        <v>83.5</v>
      </c>
      <c r="C671">
        <f t="shared" si="61"/>
        <v>83</v>
      </c>
      <c r="D671">
        <f t="shared" si="62"/>
        <v>84.375</v>
      </c>
      <c r="E671">
        <f t="shared" si="63"/>
        <v>84</v>
      </c>
      <c r="F671">
        <f t="shared" si="64"/>
        <v>7.9523809523809526</v>
      </c>
      <c r="G671">
        <f>_xlfn.CEILING.MATH($F671)</f>
        <v>8</v>
      </c>
      <c r="H671">
        <f t="shared" si="65"/>
        <v>-0.59523809523809312</v>
      </c>
    </row>
    <row r="672" spans="1:8" x14ac:dyDescent="0.3">
      <c r="A672">
        <v>669</v>
      </c>
      <c r="B672">
        <f t="shared" si="60"/>
        <v>83.625</v>
      </c>
      <c r="C672">
        <f t="shared" si="61"/>
        <v>83</v>
      </c>
      <c r="D672">
        <f t="shared" si="62"/>
        <v>84.5</v>
      </c>
      <c r="E672">
        <f t="shared" si="63"/>
        <v>84</v>
      </c>
      <c r="F672">
        <f t="shared" si="64"/>
        <v>7.9642857142857144</v>
      </c>
      <c r="G672">
        <f>_xlfn.CEILING.MATH($F672)</f>
        <v>8</v>
      </c>
      <c r="H672">
        <f t="shared" si="65"/>
        <v>-0.44642857142856984</v>
      </c>
    </row>
    <row r="673" spans="1:8" x14ac:dyDescent="0.3">
      <c r="A673">
        <v>670</v>
      </c>
      <c r="B673">
        <f t="shared" si="60"/>
        <v>83.75</v>
      </c>
      <c r="C673">
        <f t="shared" si="61"/>
        <v>83</v>
      </c>
      <c r="D673">
        <f t="shared" si="62"/>
        <v>84.625</v>
      </c>
      <c r="E673">
        <f t="shared" si="63"/>
        <v>84</v>
      </c>
      <c r="F673">
        <f t="shared" si="64"/>
        <v>7.9761904761904763</v>
      </c>
      <c r="G673">
        <f>_xlfn.CEILING.MATH($F673)</f>
        <v>8</v>
      </c>
      <c r="H673">
        <f t="shared" si="65"/>
        <v>-0.29761904761904656</v>
      </c>
    </row>
    <row r="674" spans="1:8" x14ac:dyDescent="0.3">
      <c r="A674">
        <v>671</v>
      </c>
      <c r="B674">
        <f t="shared" si="60"/>
        <v>83.875</v>
      </c>
      <c r="C674">
        <f t="shared" si="61"/>
        <v>83</v>
      </c>
      <c r="D674">
        <f t="shared" si="62"/>
        <v>84.75</v>
      </c>
      <c r="E674">
        <f t="shared" si="63"/>
        <v>84</v>
      </c>
      <c r="F674">
        <f t="shared" si="64"/>
        <v>7.9880952380952381</v>
      </c>
      <c r="G674">
        <f>_xlfn.CEILING.MATH($F674)</f>
        <v>8</v>
      </c>
      <c r="H674">
        <f t="shared" si="65"/>
        <v>-0.14880952380952328</v>
      </c>
    </row>
    <row r="675" spans="1:8" x14ac:dyDescent="0.3">
      <c r="A675">
        <v>672</v>
      </c>
      <c r="B675">
        <f t="shared" si="60"/>
        <v>84</v>
      </c>
      <c r="C675">
        <f t="shared" si="61"/>
        <v>84</v>
      </c>
      <c r="D675">
        <f t="shared" si="62"/>
        <v>84.875</v>
      </c>
      <c r="E675">
        <f t="shared" si="63"/>
        <v>84</v>
      </c>
      <c r="F675">
        <f t="shared" si="64"/>
        <v>8</v>
      </c>
      <c r="G675">
        <f>_xlfn.CEILING.MATH($F675)</f>
        <v>8</v>
      </c>
      <c r="H675">
        <f t="shared" si="65"/>
        <v>0</v>
      </c>
    </row>
    <row r="676" spans="1:8" x14ac:dyDescent="0.3">
      <c r="A676">
        <v>673</v>
      </c>
      <c r="B676">
        <f t="shared" si="60"/>
        <v>84.125</v>
      </c>
      <c r="C676">
        <f t="shared" si="61"/>
        <v>84</v>
      </c>
      <c r="D676">
        <f t="shared" si="62"/>
        <v>85</v>
      </c>
      <c r="E676">
        <f t="shared" si="63"/>
        <v>85</v>
      </c>
      <c r="F676">
        <f t="shared" si="64"/>
        <v>7.9176470588235297</v>
      </c>
      <c r="G676">
        <f>_xlfn.CEILING.MATH($F676)</f>
        <v>8</v>
      </c>
      <c r="H676">
        <f t="shared" si="65"/>
        <v>-1.0294117647058787</v>
      </c>
    </row>
    <row r="677" spans="1:8" x14ac:dyDescent="0.3">
      <c r="A677">
        <v>674</v>
      </c>
      <c r="B677">
        <f t="shared" si="60"/>
        <v>84.25</v>
      </c>
      <c r="C677">
        <f t="shared" si="61"/>
        <v>84</v>
      </c>
      <c r="D677">
        <f t="shared" si="62"/>
        <v>85.125</v>
      </c>
      <c r="E677">
        <f t="shared" si="63"/>
        <v>85</v>
      </c>
      <c r="F677">
        <f t="shared" si="64"/>
        <v>7.9294117647058826</v>
      </c>
      <c r="G677">
        <f>_xlfn.CEILING.MATH($F677)</f>
        <v>8</v>
      </c>
      <c r="H677">
        <f t="shared" si="65"/>
        <v>-0.88235294117646745</v>
      </c>
    </row>
    <row r="678" spans="1:8" x14ac:dyDescent="0.3">
      <c r="A678">
        <v>675</v>
      </c>
      <c r="B678">
        <f t="shared" si="60"/>
        <v>84.375</v>
      </c>
      <c r="C678">
        <f t="shared" si="61"/>
        <v>84</v>
      </c>
      <c r="D678">
        <f t="shared" si="62"/>
        <v>85.25</v>
      </c>
      <c r="E678">
        <f t="shared" si="63"/>
        <v>85</v>
      </c>
      <c r="F678">
        <f t="shared" si="64"/>
        <v>7.9411764705882355</v>
      </c>
      <c r="G678">
        <f>_xlfn.CEILING.MATH($F678)</f>
        <v>8</v>
      </c>
      <c r="H678">
        <f t="shared" si="65"/>
        <v>-0.73529411764705621</v>
      </c>
    </row>
    <row r="679" spans="1:8" x14ac:dyDescent="0.3">
      <c r="A679">
        <v>676</v>
      </c>
      <c r="B679">
        <f t="shared" si="60"/>
        <v>84.5</v>
      </c>
      <c r="C679">
        <f t="shared" si="61"/>
        <v>84</v>
      </c>
      <c r="D679">
        <f t="shared" si="62"/>
        <v>85.375</v>
      </c>
      <c r="E679">
        <f t="shared" si="63"/>
        <v>85</v>
      </c>
      <c r="F679">
        <f t="shared" si="64"/>
        <v>7.9529411764705884</v>
      </c>
      <c r="G679">
        <f>_xlfn.CEILING.MATH($F679)</f>
        <v>8</v>
      </c>
      <c r="H679">
        <f t="shared" si="65"/>
        <v>-0.58823529411764497</v>
      </c>
    </row>
    <row r="680" spans="1:8" x14ac:dyDescent="0.3">
      <c r="A680">
        <v>677</v>
      </c>
      <c r="B680">
        <f t="shared" si="60"/>
        <v>84.625</v>
      </c>
      <c r="C680">
        <f t="shared" si="61"/>
        <v>84</v>
      </c>
      <c r="D680">
        <f t="shared" si="62"/>
        <v>85.5</v>
      </c>
      <c r="E680">
        <f t="shared" si="63"/>
        <v>85</v>
      </c>
      <c r="F680">
        <f t="shared" si="64"/>
        <v>7.9647058823529413</v>
      </c>
      <c r="G680">
        <f>_xlfn.CEILING.MATH($F680)</f>
        <v>8</v>
      </c>
      <c r="H680">
        <f t="shared" si="65"/>
        <v>-0.44117647058823373</v>
      </c>
    </row>
    <row r="681" spans="1:8" x14ac:dyDescent="0.3">
      <c r="A681">
        <v>678</v>
      </c>
      <c r="B681">
        <f t="shared" si="60"/>
        <v>84.75</v>
      </c>
      <c r="C681">
        <f t="shared" si="61"/>
        <v>84</v>
      </c>
      <c r="D681">
        <f t="shared" si="62"/>
        <v>85.625</v>
      </c>
      <c r="E681">
        <f t="shared" si="63"/>
        <v>85</v>
      </c>
      <c r="F681">
        <f t="shared" si="64"/>
        <v>7.9764705882352942</v>
      </c>
      <c r="G681">
        <f>_xlfn.CEILING.MATH($F681)</f>
        <v>8</v>
      </c>
      <c r="H681">
        <f t="shared" si="65"/>
        <v>-0.29411764705882248</v>
      </c>
    </row>
    <row r="682" spans="1:8" x14ac:dyDescent="0.3">
      <c r="A682">
        <v>679</v>
      </c>
      <c r="B682">
        <f t="shared" si="60"/>
        <v>84.875</v>
      </c>
      <c r="C682">
        <f t="shared" si="61"/>
        <v>84</v>
      </c>
      <c r="D682">
        <f t="shared" si="62"/>
        <v>85.75</v>
      </c>
      <c r="E682">
        <f t="shared" si="63"/>
        <v>85</v>
      </c>
      <c r="F682">
        <f t="shared" si="64"/>
        <v>7.9882352941176471</v>
      </c>
      <c r="G682">
        <f>_xlfn.CEILING.MATH($F682)</f>
        <v>8</v>
      </c>
      <c r="H682">
        <f t="shared" si="65"/>
        <v>-0.14705882352941124</v>
      </c>
    </row>
    <row r="683" spans="1:8" x14ac:dyDescent="0.3">
      <c r="A683">
        <v>680</v>
      </c>
      <c r="B683">
        <f t="shared" si="60"/>
        <v>85</v>
      </c>
      <c r="C683">
        <f t="shared" si="61"/>
        <v>85</v>
      </c>
      <c r="D683">
        <f t="shared" si="62"/>
        <v>85.875</v>
      </c>
      <c r="E683">
        <f t="shared" si="63"/>
        <v>85</v>
      </c>
      <c r="F683">
        <f t="shared" si="64"/>
        <v>8</v>
      </c>
      <c r="G683">
        <f>_xlfn.CEILING.MATH($F683)</f>
        <v>8</v>
      </c>
      <c r="H683">
        <f t="shared" si="65"/>
        <v>0</v>
      </c>
    </row>
    <row r="684" spans="1:8" x14ac:dyDescent="0.3">
      <c r="A684">
        <v>681</v>
      </c>
      <c r="B684">
        <f t="shared" si="60"/>
        <v>85.125</v>
      </c>
      <c r="C684">
        <f t="shared" si="61"/>
        <v>85</v>
      </c>
      <c r="D684">
        <f t="shared" si="62"/>
        <v>86</v>
      </c>
      <c r="E684">
        <f t="shared" si="63"/>
        <v>86</v>
      </c>
      <c r="F684">
        <f t="shared" si="64"/>
        <v>7.9186046511627906</v>
      </c>
      <c r="G684">
        <f>_xlfn.CEILING.MATH($F684)</f>
        <v>8</v>
      </c>
      <c r="H684">
        <f t="shared" si="65"/>
        <v>-1.0174418604651181</v>
      </c>
    </row>
    <row r="685" spans="1:8" x14ac:dyDescent="0.3">
      <c r="A685">
        <v>682</v>
      </c>
      <c r="B685">
        <f t="shared" si="60"/>
        <v>85.25</v>
      </c>
      <c r="C685">
        <f t="shared" si="61"/>
        <v>85</v>
      </c>
      <c r="D685">
        <f t="shared" si="62"/>
        <v>86.125</v>
      </c>
      <c r="E685">
        <f t="shared" si="63"/>
        <v>86</v>
      </c>
      <c r="F685">
        <f t="shared" si="64"/>
        <v>7.9302325581395348</v>
      </c>
      <c r="G685">
        <f>_xlfn.CEILING.MATH($F685)</f>
        <v>8</v>
      </c>
      <c r="H685">
        <f t="shared" si="65"/>
        <v>-0.8720930232558155</v>
      </c>
    </row>
    <row r="686" spans="1:8" x14ac:dyDescent="0.3">
      <c r="A686">
        <v>683</v>
      </c>
      <c r="B686">
        <f t="shared" si="60"/>
        <v>85.375</v>
      </c>
      <c r="C686">
        <f t="shared" si="61"/>
        <v>85</v>
      </c>
      <c r="D686">
        <f t="shared" si="62"/>
        <v>86.25</v>
      </c>
      <c r="E686">
        <f t="shared" si="63"/>
        <v>86</v>
      </c>
      <c r="F686">
        <f t="shared" si="64"/>
        <v>7.941860465116279</v>
      </c>
      <c r="G686">
        <f>_xlfn.CEILING.MATH($F686)</f>
        <v>8</v>
      </c>
      <c r="H686">
        <f t="shared" si="65"/>
        <v>-0.72674418604651292</v>
      </c>
    </row>
    <row r="687" spans="1:8" x14ac:dyDescent="0.3">
      <c r="A687">
        <v>684</v>
      </c>
      <c r="B687">
        <f t="shared" si="60"/>
        <v>85.5</v>
      </c>
      <c r="C687">
        <f t="shared" si="61"/>
        <v>85</v>
      </c>
      <c r="D687">
        <f t="shared" si="62"/>
        <v>86.375</v>
      </c>
      <c r="E687">
        <f t="shared" si="63"/>
        <v>86</v>
      </c>
      <c r="F687">
        <f t="shared" si="64"/>
        <v>7.9534883720930232</v>
      </c>
      <c r="G687">
        <f>_xlfn.CEILING.MATH($F687)</f>
        <v>8</v>
      </c>
      <c r="H687">
        <f t="shared" si="65"/>
        <v>-0.58139534883721034</v>
      </c>
    </row>
    <row r="688" spans="1:8" x14ac:dyDescent="0.3">
      <c r="A688">
        <v>685</v>
      </c>
      <c r="B688">
        <f t="shared" si="60"/>
        <v>85.625</v>
      </c>
      <c r="C688">
        <f t="shared" si="61"/>
        <v>85</v>
      </c>
      <c r="D688">
        <f t="shared" si="62"/>
        <v>86.5</v>
      </c>
      <c r="E688">
        <f t="shared" si="63"/>
        <v>86</v>
      </c>
      <c r="F688">
        <f t="shared" si="64"/>
        <v>7.9651162790697674</v>
      </c>
      <c r="G688">
        <f>_xlfn.CEILING.MATH($F688)</f>
        <v>8</v>
      </c>
      <c r="H688">
        <f t="shared" si="65"/>
        <v>-0.43604651162790775</v>
      </c>
    </row>
    <row r="689" spans="1:8" x14ac:dyDescent="0.3">
      <c r="A689">
        <v>686</v>
      </c>
      <c r="B689">
        <f t="shared" si="60"/>
        <v>85.75</v>
      </c>
      <c r="C689">
        <f t="shared" si="61"/>
        <v>85</v>
      </c>
      <c r="D689">
        <f t="shared" si="62"/>
        <v>86.625</v>
      </c>
      <c r="E689">
        <f>_xlfn.FLOOR.MATH($D689)</f>
        <v>86</v>
      </c>
      <c r="F689">
        <f t="shared" si="64"/>
        <v>7.9767441860465116</v>
      </c>
      <c r="G689">
        <f>_xlfn.CEILING.MATH($F689)</f>
        <v>8</v>
      </c>
      <c r="H689">
        <f t="shared" si="65"/>
        <v>-0.29069767441860517</v>
      </c>
    </row>
    <row r="690" spans="1:8" x14ac:dyDescent="0.3">
      <c r="A690">
        <v>687</v>
      </c>
      <c r="B690">
        <f t="shared" si="60"/>
        <v>85.875</v>
      </c>
      <c r="C690">
        <f t="shared" si="61"/>
        <v>85</v>
      </c>
      <c r="D690">
        <f t="shared" si="62"/>
        <v>86.75</v>
      </c>
      <c r="E690">
        <f t="shared" si="63"/>
        <v>86</v>
      </c>
      <c r="F690">
        <f t="shared" si="64"/>
        <v>7.9883720930232558</v>
      </c>
      <c r="G690">
        <f>_xlfn.CEILING.MATH($F690)</f>
        <v>8</v>
      </c>
      <c r="H690">
        <f t="shared" si="65"/>
        <v>-0.14534883720930258</v>
      </c>
    </row>
    <row r="691" spans="1:8" x14ac:dyDescent="0.3">
      <c r="A691">
        <v>688</v>
      </c>
      <c r="B691">
        <f t="shared" si="60"/>
        <v>86</v>
      </c>
      <c r="C691">
        <f t="shared" si="61"/>
        <v>86</v>
      </c>
      <c r="D691">
        <f t="shared" si="62"/>
        <v>86.875</v>
      </c>
      <c r="E691">
        <f t="shared" si="63"/>
        <v>86</v>
      </c>
      <c r="F691">
        <f t="shared" si="64"/>
        <v>8</v>
      </c>
      <c r="G691">
        <f>_xlfn.CEILING.MATH($F691)</f>
        <v>8</v>
      </c>
      <c r="H691">
        <f t="shared" si="65"/>
        <v>0</v>
      </c>
    </row>
    <row r="692" spans="1:8" x14ac:dyDescent="0.3">
      <c r="A692">
        <v>689</v>
      </c>
      <c r="B692">
        <f t="shared" si="60"/>
        <v>86.125</v>
      </c>
      <c r="C692">
        <f t="shared" si="61"/>
        <v>86</v>
      </c>
      <c r="D692">
        <f t="shared" si="62"/>
        <v>87</v>
      </c>
      <c r="E692">
        <f t="shared" si="63"/>
        <v>87</v>
      </c>
      <c r="F692">
        <f t="shared" si="64"/>
        <v>7.9195402298850572</v>
      </c>
      <c r="G692">
        <f>_xlfn.CEILING.MATH($F692)</f>
        <v>8</v>
      </c>
      <c r="H692">
        <f t="shared" si="65"/>
        <v>-1.0057471264367845</v>
      </c>
    </row>
    <row r="693" spans="1:8" x14ac:dyDescent="0.3">
      <c r="A693">
        <v>690</v>
      </c>
      <c r="B693">
        <f t="shared" si="60"/>
        <v>86.25</v>
      </c>
      <c r="C693">
        <f t="shared" si="61"/>
        <v>86</v>
      </c>
      <c r="D693">
        <f t="shared" si="62"/>
        <v>87.125</v>
      </c>
      <c r="E693">
        <f t="shared" si="63"/>
        <v>87</v>
      </c>
      <c r="F693">
        <f t="shared" si="64"/>
        <v>7.931034482758621</v>
      </c>
      <c r="G693">
        <f>_xlfn.CEILING.MATH($F693)</f>
        <v>8</v>
      </c>
      <c r="H693">
        <f t="shared" si="65"/>
        <v>-0.86206896551723755</v>
      </c>
    </row>
    <row r="694" spans="1:8" x14ac:dyDescent="0.3">
      <c r="A694">
        <v>691</v>
      </c>
      <c r="B694">
        <f t="shared" si="60"/>
        <v>86.375</v>
      </c>
      <c r="C694">
        <f t="shared" si="61"/>
        <v>86</v>
      </c>
      <c r="D694">
        <f t="shared" si="62"/>
        <v>87.25</v>
      </c>
      <c r="E694">
        <f t="shared" si="63"/>
        <v>87</v>
      </c>
      <c r="F694">
        <f t="shared" si="64"/>
        <v>7.9425287356321839</v>
      </c>
      <c r="G694">
        <f>_xlfn.CEILING.MATH($F694)</f>
        <v>8</v>
      </c>
      <c r="H694">
        <f t="shared" si="65"/>
        <v>-0.71839080459770166</v>
      </c>
    </row>
    <row r="695" spans="1:8" x14ac:dyDescent="0.3">
      <c r="A695">
        <v>692</v>
      </c>
      <c r="B695">
        <f t="shared" si="60"/>
        <v>86.5</v>
      </c>
      <c r="C695">
        <f t="shared" si="61"/>
        <v>86</v>
      </c>
      <c r="D695">
        <f t="shared" si="62"/>
        <v>87.375</v>
      </c>
      <c r="E695">
        <f t="shared" si="63"/>
        <v>87</v>
      </c>
      <c r="F695">
        <f t="shared" si="64"/>
        <v>7.9540229885057467</v>
      </c>
      <c r="G695">
        <f>_xlfn.CEILING.MATH($F695)</f>
        <v>8</v>
      </c>
      <c r="H695">
        <f t="shared" si="65"/>
        <v>-0.57471264367816577</v>
      </c>
    </row>
    <row r="696" spans="1:8" x14ac:dyDescent="0.3">
      <c r="A696">
        <v>693</v>
      </c>
      <c r="B696">
        <f t="shared" si="60"/>
        <v>86.625</v>
      </c>
      <c r="C696">
        <f t="shared" si="61"/>
        <v>86</v>
      </c>
      <c r="D696">
        <f t="shared" si="62"/>
        <v>87.5</v>
      </c>
      <c r="E696">
        <f t="shared" si="63"/>
        <v>87</v>
      </c>
      <c r="F696">
        <f t="shared" si="64"/>
        <v>7.9655172413793105</v>
      </c>
      <c r="G696">
        <f>_xlfn.CEILING.MATH($F696)</f>
        <v>8</v>
      </c>
      <c r="H696">
        <f t="shared" si="65"/>
        <v>-0.43103448275861878</v>
      </c>
    </row>
    <row r="697" spans="1:8" x14ac:dyDescent="0.3">
      <c r="A697">
        <v>694</v>
      </c>
      <c r="B697">
        <f t="shared" si="60"/>
        <v>86.75</v>
      </c>
      <c r="C697">
        <f t="shared" si="61"/>
        <v>86</v>
      </c>
      <c r="D697">
        <f t="shared" si="62"/>
        <v>87.625</v>
      </c>
      <c r="E697">
        <f t="shared" si="63"/>
        <v>87</v>
      </c>
      <c r="F697">
        <f t="shared" si="64"/>
        <v>7.9770114942528734</v>
      </c>
      <c r="G697">
        <f>_xlfn.CEILING.MATH($F697)</f>
        <v>8</v>
      </c>
      <c r="H697">
        <f t="shared" si="65"/>
        <v>-0.28735632183908288</v>
      </c>
    </row>
    <row r="698" spans="1:8" x14ac:dyDescent="0.3">
      <c r="A698">
        <v>695</v>
      </c>
      <c r="B698">
        <f t="shared" si="60"/>
        <v>86.875</v>
      </c>
      <c r="C698">
        <f t="shared" si="61"/>
        <v>86</v>
      </c>
      <c r="D698">
        <f t="shared" si="62"/>
        <v>87.75</v>
      </c>
      <c r="E698">
        <f t="shared" si="63"/>
        <v>87</v>
      </c>
      <c r="F698">
        <f t="shared" si="64"/>
        <v>7.9885057471264371</v>
      </c>
      <c r="G698">
        <f>_xlfn.CEILING.MATH($F698)</f>
        <v>8</v>
      </c>
      <c r="H698">
        <f t="shared" si="65"/>
        <v>-0.14367816091953589</v>
      </c>
    </row>
    <row r="699" spans="1:8" x14ac:dyDescent="0.3">
      <c r="A699">
        <v>696</v>
      </c>
      <c r="B699">
        <f t="shared" si="60"/>
        <v>87</v>
      </c>
      <c r="C699">
        <f t="shared" si="61"/>
        <v>87</v>
      </c>
      <c r="D699">
        <f t="shared" si="62"/>
        <v>87.875</v>
      </c>
      <c r="E699">
        <f t="shared" si="63"/>
        <v>87</v>
      </c>
      <c r="F699">
        <f t="shared" si="64"/>
        <v>8</v>
      </c>
      <c r="G699">
        <f>_xlfn.CEILING.MATH($F699)</f>
        <v>8</v>
      </c>
      <c r="H699">
        <f t="shared" si="65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audio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凯 陈</dc:creator>
  <cp:lastModifiedBy>凯 陈</cp:lastModifiedBy>
  <dcterms:created xsi:type="dcterms:W3CDTF">2026-07-15T08:13:20Z</dcterms:created>
  <dcterms:modified xsi:type="dcterms:W3CDTF">2026-07-19T19:29:16Z</dcterms:modified>
</cp:coreProperties>
</file>